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6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7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+xml"/>
  <Override PartName="/xl/comments3.xml" ContentType="application/vnd.openxmlformats-officedocument.spreadsheetml.comments+xml"/>
  <Override PartName="/xl/charts/chart8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+xml"/>
  <Override PartName="/xl/ctrlProps/ctrlProp4.xml" ContentType="application/vnd.ms-excel.controlproperties+xml"/>
  <Override PartName="/xl/charts/chart11.xml" ContentType="application/vnd.openxmlformats-officedocument.drawingml.chart+xml"/>
  <Override PartName="/xl/drawings/drawing12.xml" ContentType="application/vnd.openxmlformats-officedocument.drawing+xml"/>
  <Override PartName="/xl/ctrlProps/ctrlProp5.xml" ContentType="application/vnd.ms-excel.controlproperties+xml"/>
  <Override PartName="/xl/charts/chart12.xml" ContentType="application/vnd.openxmlformats-officedocument.drawingml.chart+xml"/>
  <Override PartName="/xl/drawings/drawing13.xml" ContentType="application/vnd.openxmlformats-officedocument.drawing+xml"/>
  <Override PartName="/xl/ctrlProps/ctrlProp6.xml" ContentType="application/vnd.ms-excel.controlproperties+xml"/>
  <Override PartName="/xl/charts/chart13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4.xml" ContentType="application/vnd.openxmlformats-officedocument.drawing+xml"/>
  <Override PartName="/xl/charts/chart14.xml" ContentType="application/vnd.openxmlformats-officedocument.drawingml.chart+xml"/>
  <Override PartName="/xl/drawings/drawing15.xml" ContentType="application/vnd.openxmlformats-officedocument.drawing+xml"/>
  <Override PartName="/xl/charts/chart1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6.xml" ContentType="application/vnd.openxmlformats-officedocument.drawing+xml"/>
  <Override PartName="/xl/charts/chart16.xml" ContentType="application/vnd.openxmlformats-officedocument.drawingml.chart+xml"/>
  <Override PartName="/xl/drawings/drawing17.xml" ContentType="application/vnd.openxmlformats-officedocument.drawing+xml"/>
  <Override PartName="/xl/charts/chart17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8.xml" ContentType="application/vnd.openxmlformats-officedocument.drawing+xml"/>
  <Override PartName="/xl/charts/chart18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9.xml" ContentType="application/vnd.openxmlformats-officedocument.drawing+xml"/>
  <Override PartName="/xl/charts/chart19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Gerry Murphy\Desktop\GMOT\"/>
    </mc:Choice>
  </mc:AlternateContent>
  <xr:revisionPtr revIDLastSave="0" documentId="13_ncr:1_{28A5D3AA-B38D-49EF-AFE8-F951E38137A7}" xr6:coauthVersionLast="45" xr6:coauthVersionMax="45" xr10:uidLastSave="{00000000-0000-0000-0000-000000000000}"/>
  <bookViews>
    <workbookView xWindow="-120" yWindow="-120" windowWidth="25440" windowHeight="15390" tabRatio="861" xr2:uid="{00000000-000D-0000-FFFF-FFFF00000000}"/>
  </bookViews>
  <sheets>
    <sheet name="GMOT" sheetId="1" r:id="rId1"/>
    <sheet name="Model" sheetId="20" state="veryHidden" r:id="rId2"/>
    <sheet name="Protocol details" sheetId="21" state="veryHidden" r:id="rId3"/>
    <sheet name="Error simulator" sheetId="25" state="veryHidden" r:id="rId4"/>
    <sheet name="Error Details" sheetId="26" state="veryHidden" r:id="rId5"/>
    <sheet name="Map Template" sheetId="4" state="veryHidden" r:id="rId6"/>
    <sheet name="Error Rel" sheetId="19" state="veryHidden" r:id="rId7"/>
    <sheet name="All Points" sheetId="2" state="veryHidden" r:id="rId8"/>
    <sheet name="Rand" sheetId="3" state="veryHidden" r:id="rId9"/>
    <sheet name="1" sheetId="18" state="veryHidden" r:id="rId10"/>
    <sheet name="2" sheetId="41" state="veryHidden" r:id="rId11"/>
    <sheet name="4" sheetId="22" state="veryHidden" r:id="rId12"/>
    <sheet name="8" sheetId="5" state="veryHidden" r:id="rId13"/>
    <sheet name="12" sheetId="23" state="veryHidden" r:id="rId14"/>
    <sheet name="16" sheetId="6" state="veryHidden" r:id="rId15"/>
    <sheet name="20" sheetId="24" state="veryHidden" r:id="rId16"/>
    <sheet name="24" sheetId="7" state="veryHidden" r:id="rId17"/>
    <sheet name="32" sheetId="8" state="veryHidden" r:id="rId18"/>
    <sheet name="40" sheetId="9" state="veryHidden" r:id="rId19"/>
  </sheets>
  <definedNames>
    <definedName name="_xlnm._FilterDatabase" localSheetId="2" hidden="1">'Protocol details'!$A$30:$C$48</definedName>
    <definedName name="solver_adj" localSheetId="9" hidden="1">'1'!$C$7:$C$7</definedName>
    <definedName name="solver_adj" localSheetId="13" hidden="1">'12'!$R$20:$AC$20</definedName>
    <definedName name="solver_adj" localSheetId="14" hidden="1">'16'!$R$24:$AG$24</definedName>
    <definedName name="solver_adj" localSheetId="10" hidden="1">'2'!$D$18:$E$18</definedName>
    <definedName name="solver_adj" localSheetId="15" hidden="1">'20'!$Q$28:$AL$28</definedName>
    <definedName name="solver_adj" localSheetId="16" hidden="1">'24'!$R$32:$AO$32</definedName>
    <definedName name="solver_adj" localSheetId="17" hidden="1">'32'!$R$40:$AW$40</definedName>
    <definedName name="solver_adj" localSheetId="11" hidden="1">'4'!$D$22:$G$22</definedName>
    <definedName name="solver_adj" localSheetId="18" hidden="1">'40'!$R$48:$BE$48</definedName>
    <definedName name="solver_adj" localSheetId="12" hidden="1">'8'!$D$30:$K$30</definedName>
    <definedName name="solver_cvg" localSheetId="9" hidden="1">0.0001</definedName>
    <definedName name="solver_cvg" localSheetId="13" hidden="1">0.0001</definedName>
    <definedName name="solver_cvg" localSheetId="14" hidden="1">0.0001</definedName>
    <definedName name="solver_cvg" localSheetId="10" hidden="1">0.0001</definedName>
    <definedName name="solver_cvg" localSheetId="15" hidden="1">0.0001</definedName>
    <definedName name="solver_cvg" localSheetId="16" hidden="1">0.0001</definedName>
    <definedName name="solver_cvg" localSheetId="17" hidden="1">0.0001</definedName>
    <definedName name="solver_cvg" localSheetId="11" hidden="1">0.0001</definedName>
    <definedName name="solver_cvg" localSheetId="18" hidden="1">0.0001</definedName>
    <definedName name="solver_cvg" localSheetId="12" hidden="1">0.0001</definedName>
    <definedName name="solver_drv" localSheetId="9" hidden="1">2</definedName>
    <definedName name="solver_drv" localSheetId="13" hidden="1">1</definedName>
    <definedName name="solver_drv" localSheetId="14" hidden="1">1</definedName>
    <definedName name="solver_drv" localSheetId="10" hidden="1">2</definedName>
    <definedName name="solver_drv" localSheetId="15" hidden="1">1</definedName>
    <definedName name="solver_drv" localSheetId="16" hidden="1">1</definedName>
    <definedName name="solver_drv" localSheetId="17" hidden="1">1</definedName>
    <definedName name="solver_drv" localSheetId="11" hidden="1">2</definedName>
    <definedName name="solver_drv" localSheetId="18" hidden="1">1</definedName>
    <definedName name="solver_drv" localSheetId="12" hidden="1">2</definedName>
    <definedName name="solver_eng" localSheetId="9" hidden="1">3</definedName>
    <definedName name="solver_eng" localSheetId="13" hidden="1">3</definedName>
    <definedName name="solver_eng" localSheetId="14" hidden="1">3</definedName>
    <definedName name="solver_eng" localSheetId="10" hidden="1">3</definedName>
    <definedName name="solver_eng" localSheetId="15" hidden="1">3</definedName>
    <definedName name="solver_eng" localSheetId="16" hidden="1">3</definedName>
    <definedName name="solver_eng" localSheetId="17" hidden="1">3</definedName>
    <definedName name="solver_eng" localSheetId="11" hidden="1">3</definedName>
    <definedName name="solver_eng" localSheetId="18" hidden="1">3</definedName>
    <definedName name="solver_eng" localSheetId="12" hidden="1">3</definedName>
    <definedName name="solver_eng" localSheetId="0" hidden="1">3</definedName>
    <definedName name="solver_eng" localSheetId="5" hidden="1">3</definedName>
    <definedName name="solver_est" localSheetId="9" hidden="1">1</definedName>
    <definedName name="solver_est" localSheetId="13" hidden="1">1</definedName>
    <definedName name="solver_est" localSheetId="14" hidden="1">1</definedName>
    <definedName name="solver_est" localSheetId="10" hidden="1">1</definedName>
    <definedName name="solver_est" localSheetId="15" hidden="1">1</definedName>
    <definedName name="solver_est" localSheetId="16" hidden="1">1</definedName>
    <definedName name="solver_est" localSheetId="17" hidden="1">1</definedName>
    <definedName name="solver_est" localSheetId="11" hidden="1">1</definedName>
    <definedName name="solver_est" localSheetId="18" hidden="1">1</definedName>
    <definedName name="solver_est" localSheetId="12" hidden="1">1</definedName>
    <definedName name="solver_itr" localSheetId="9" hidden="1">2147483647</definedName>
    <definedName name="solver_itr" localSheetId="13" hidden="1">1000000</definedName>
    <definedName name="solver_itr" localSheetId="14" hidden="1">1000000</definedName>
    <definedName name="solver_itr" localSheetId="10" hidden="1">1000000</definedName>
    <definedName name="solver_itr" localSheetId="15" hidden="1">1000000</definedName>
    <definedName name="solver_itr" localSheetId="16" hidden="1">1000000</definedName>
    <definedName name="solver_itr" localSheetId="17" hidden="1">1000000</definedName>
    <definedName name="solver_itr" localSheetId="11" hidden="1">1000000</definedName>
    <definedName name="solver_itr" localSheetId="18" hidden="1">2147483647</definedName>
    <definedName name="solver_itr" localSheetId="12" hidden="1">1000000</definedName>
    <definedName name="solver_lhs1" localSheetId="9" hidden="1">'1'!$C$7:$C$7</definedName>
    <definedName name="solver_lhs1" localSheetId="13" hidden="1">'12'!$R$20:$AC$20</definedName>
    <definedName name="solver_lhs1" localSheetId="14" hidden="1">'16'!$R$24:$AG$24</definedName>
    <definedName name="solver_lhs1" localSheetId="10" hidden="1">'2'!$D$18:$E$18</definedName>
    <definedName name="solver_lhs1" localSheetId="15" hidden="1">'20'!$Q$28:$AL$28</definedName>
    <definedName name="solver_lhs1" localSheetId="16" hidden="1">'24'!$R$32:$AO$32</definedName>
    <definedName name="solver_lhs1" localSheetId="17" hidden="1">'32'!$R$40:$AW$40</definedName>
    <definedName name="solver_lhs1" localSheetId="11" hidden="1">'4'!$D$22:$G$22</definedName>
    <definedName name="solver_lhs1" localSheetId="18" hidden="1">'40'!$R$48:$BE$48</definedName>
    <definedName name="solver_lhs1" localSheetId="12" hidden="1">'8'!$D$30:$K$30</definedName>
    <definedName name="solver_lhs1" localSheetId="0" hidden="1">GMOT!$J$62:$N$62</definedName>
    <definedName name="solver_lhs10" localSheetId="10" hidden="1">'2'!$D$18:$E$18</definedName>
    <definedName name="solver_lhs10" localSheetId="11" hidden="1">'4'!$D$22:$G$22</definedName>
    <definedName name="solver_lhs10" localSheetId="12" hidden="1">'8'!$D$30:$K$30</definedName>
    <definedName name="solver_lhs11" localSheetId="10" hidden="1">'2'!$D$18:$E$18</definedName>
    <definedName name="solver_lhs11" localSheetId="11" hidden="1">'4'!$D$22:$G$22</definedName>
    <definedName name="solver_lhs11" localSheetId="12" hidden="1">'8'!$D$30:$K$30</definedName>
    <definedName name="solver_lhs2" localSheetId="9" hidden="1">'1'!$C$7:$C$7</definedName>
    <definedName name="solver_lhs2" localSheetId="13" hidden="1">'12'!$R$20:$AC$20</definedName>
    <definedName name="solver_lhs2" localSheetId="14" hidden="1">'16'!$R$24:$AG$24</definedName>
    <definedName name="solver_lhs2" localSheetId="10" hidden="1">'2'!$D$18:$E$18</definedName>
    <definedName name="solver_lhs2" localSheetId="15" hidden="1">'20'!$R$28:$AK$28</definedName>
    <definedName name="solver_lhs2" localSheetId="16" hidden="1">'24'!$R$32:$AO$32</definedName>
    <definedName name="solver_lhs2" localSheetId="17" hidden="1">'32'!$R$40:$AW$40</definedName>
    <definedName name="solver_lhs2" localSheetId="11" hidden="1">'4'!$D$22:$G$22</definedName>
    <definedName name="solver_lhs2" localSheetId="18" hidden="1">'40'!$R$48:$BE$48</definedName>
    <definedName name="solver_lhs2" localSheetId="12" hidden="1">'8'!$D$30:$K$30</definedName>
    <definedName name="solver_lhs3" localSheetId="9" hidden="1">'1'!$C$7:$C$7</definedName>
    <definedName name="solver_lhs3" localSheetId="13" hidden="1">'12'!$R$20:$AC$20</definedName>
    <definedName name="solver_lhs3" localSheetId="14" hidden="1">'16'!$R$24:$AG$24</definedName>
    <definedName name="solver_lhs3" localSheetId="10" hidden="1">'2'!$D$18:$E$18</definedName>
    <definedName name="solver_lhs3" localSheetId="15" hidden="1">'20'!$R$28:$AK$28</definedName>
    <definedName name="solver_lhs3" localSheetId="16" hidden="1">'24'!$R$32:$AO$32</definedName>
    <definedName name="solver_lhs3" localSheetId="17" hidden="1">'32'!$R$40:$AW$40</definedName>
    <definedName name="solver_lhs3" localSheetId="11" hidden="1">'4'!$D$22:$G$22</definedName>
    <definedName name="solver_lhs3" localSheetId="18" hidden="1">'40'!$R$48:$BE$48</definedName>
    <definedName name="solver_lhs3" localSheetId="12" hidden="1">'8'!$D$30:$K$30</definedName>
    <definedName name="solver_lhs4" localSheetId="9" hidden="1">'1'!$C$7:$C$7</definedName>
    <definedName name="solver_lhs4" localSheetId="13" hidden="1">'12'!$R$20:$AC$20</definedName>
    <definedName name="solver_lhs4" localSheetId="14" hidden="1">'16'!$R$24:$AG$24</definedName>
    <definedName name="solver_lhs4" localSheetId="10" hidden="1">'2'!$D$18:$E$18</definedName>
    <definedName name="solver_lhs4" localSheetId="15" hidden="1">'20'!$R$28:$AK$28</definedName>
    <definedName name="solver_lhs4" localSheetId="16" hidden="1">'24'!$R$32:$AO$32</definedName>
    <definedName name="solver_lhs4" localSheetId="17" hidden="1">'32'!$R$40:$AW$40</definedName>
    <definedName name="solver_lhs4" localSheetId="11" hidden="1">'4'!$D$22:$G$22</definedName>
    <definedName name="solver_lhs4" localSheetId="18" hidden="1">'40'!$R$48:$AW$48</definedName>
    <definedName name="solver_lhs4" localSheetId="12" hidden="1">'8'!$D$30:$K$30</definedName>
    <definedName name="solver_lhs5" localSheetId="9" hidden="1">'1'!$C$7:$C$7</definedName>
    <definedName name="solver_lhs5" localSheetId="13" hidden="1">'12'!$R$20:$AC$20</definedName>
    <definedName name="solver_lhs5" localSheetId="14" hidden="1">'16'!$R$24:$AG$24</definedName>
    <definedName name="solver_lhs5" localSheetId="10" hidden="1">'2'!$D$18:$E$18</definedName>
    <definedName name="solver_lhs5" localSheetId="11" hidden="1">'4'!$D$22:$G$22</definedName>
    <definedName name="solver_lhs5" localSheetId="18" hidden="1">'40'!$R$48:$BE$48</definedName>
    <definedName name="solver_lhs5" localSheetId="12" hidden="1">'8'!$D$30:$K$30</definedName>
    <definedName name="solver_lhs6" localSheetId="9" hidden="1">'1'!$C$7:$C$7</definedName>
    <definedName name="solver_lhs6" localSheetId="13" hidden="1">'12'!$R$20:$AC$20</definedName>
    <definedName name="solver_lhs6" localSheetId="14" hidden="1">'16'!$R$24:$AG$24</definedName>
    <definedName name="solver_lhs6" localSheetId="10" hidden="1">'2'!$D$18:$E$18</definedName>
    <definedName name="solver_lhs6" localSheetId="11" hidden="1">'4'!$D$22:$G$22</definedName>
    <definedName name="solver_lhs6" localSheetId="18" hidden="1">'40'!$R$48:$BE$48</definedName>
    <definedName name="solver_lhs6" localSheetId="12" hidden="1">'8'!$D$30:$K$30</definedName>
    <definedName name="solver_lhs7" localSheetId="10" hidden="1">'2'!$D$18:$E$18</definedName>
    <definedName name="solver_lhs7" localSheetId="11" hidden="1">'4'!$D$22:$G$22</definedName>
    <definedName name="solver_lhs7" localSheetId="18" hidden="1">'40'!$R$48:$BE$48</definedName>
    <definedName name="solver_lhs7" localSheetId="12" hidden="1">'8'!$D$30:$K$30</definedName>
    <definedName name="solver_lhs8" localSheetId="10" hidden="1">'2'!$D$18:$E$18</definedName>
    <definedName name="solver_lhs8" localSheetId="11" hidden="1">'4'!$D$22:$G$22</definedName>
    <definedName name="solver_lhs8" localSheetId="18" hidden="1">'40'!$R$48:$BE$48</definedName>
    <definedName name="solver_lhs8" localSheetId="12" hidden="1">'8'!$D$30:$K$30</definedName>
    <definedName name="solver_lhs9" localSheetId="10" hidden="1">'2'!$D$18:$E$18</definedName>
    <definedName name="solver_lhs9" localSheetId="11" hidden="1">'4'!$D$22:$G$22</definedName>
    <definedName name="solver_lhs9" localSheetId="18" hidden="1">'40'!$R$48:$BE$48</definedName>
    <definedName name="solver_lhs9" localSheetId="12" hidden="1">'8'!$D$30:$K$30</definedName>
    <definedName name="solver_mip" localSheetId="9" hidden="1">2147483647</definedName>
    <definedName name="solver_mip" localSheetId="13" hidden="1">1000000</definedName>
    <definedName name="solver_mip" localSheetId="14" hidden="1">1000000</definedName>
    <definedName name="solver_mip" localSheetId="10" hidden="1">1000000</definedName>
    <definedName name="solver_mip" localSheetId="15" hidden="1">1000000</definedName>
    <definedName name="solver_mip" localSheetId="16" hidden="1">1000000</definedName>
    <definedName name="solver_mip" localSheetId="17" hidden="1">1000000</definedName>
    <definedName name="solver_mip" localSheetId="11" hidden="1">1000000</definedName>
    <definedName name="solver_mip" localSheetId="18" hidden="1">2147483647</definedName>
    <definedName name="solver_mip" localSheetId="12" hidden="1">1000000</definedName>
    <definedName name="solver_mni" localSheetId="9" hidden="1">30</definedName>
    <definedName name="solver_mni" localSheetId="13" hidden="1">10000</definedName>
    <definedName name="solver_mni" localSheetId="14" hidden="1">10000</definedName>
    <definedName name="solver_mni" localSheetId="10" hidden="1">10000</definedName>
    <definedName name="solver_mni" localSheetId="15" hidden="1">10000</definedName>
    <definedName name="solver_mni" localSheetId="16" hidden="1">10000</definedName>
    <definedName name="solver_mni" localSheetId="17" hidden="1">10000</definedName>
    <definedName name="solver_mni" localSheetId="11" hidden="1">10000</definedName>
    <definedName name="solver_mni" localSheetId="18" hidden="1">60</definedName>
    <definedName name="solver_mni" localSheetId="12" hidden="1">10000</definedName>
    <definedName name="solver_mrt" localSheetId="9" hidden="1">0.075</definedName>
    <definedName name="solver_mrt" localSheetId="13" hidden="1">0.9</definedName>
    <definedName name="solver_mrt" localSheetId="14" hidden="1">0.9</definedName>
    <definedName name="solver_mrt" localSheetId="10" hidden="1">0.9</definedName>
    <definedName name="solver_mrt" localSheetId="15" hidden="1">0.9</definedName>
    <definedName name="solver_mrt" localSheetId="16" hidden="1">0.9</definedName>
    <definedName name="solver_mrt" localSheetId="17" hidden="1">0.4</definedName>
    <definedName name="solver_mrt" localSheetId="11" hidden="1">0.9</definedName>
    <definedName name="solver_mrt" localSheetId="18" hidden="1">0.9</definedName>
    <definedName name="solver_mrt" localSheetId="12" hidden="1">0.9</definedName>
    <definedName name="solver_msl" localSheetId="9" hidden="1">2</definedName>
    <definedName name="solver_msl" localSheetId="13" hidden="1">2</definedName>
    <definedName name="solver_msl" localSheetId="14" hidden="1">2</definedName>
    <definedName name="solver_msl" localSheetId="10" hidden="1">2</definedName>
    <definedName name="solver_msl" localSheetId="15" hidden="1">2</definedName>
    <definedName name="solver_msl" localSheetId="16" hidden="1">2</definedName>
    <definedName name="solver_msl" localSheetId="17" hidden="1">2</definedName>
    <definedName name="solver_msl" localSheetId="11" hidden="1">2</definedName>
    <definedName name="solver_msl" localSheetId="18" hidden="1">2</definedName>
    <definedName name="solver_msl" localSheetId="12" hidden="1">2</definedName>
    <definedName name="solver_neg" localSheetId="9" hidden="1">1</definedName>
    <definedName name="solver_neg" localSheetId="13" hidden="1">1</definedName>
    <definedName name="solver_neg" localSheetId="14" hidden="1">1</definedName>
    <definedName name="solver_neg" localSheetId="10" hidden="1">1</definedName>
    <definedName name="solver_neg" localSheetId="15" hidden="1">1</definedName>
    <definedName name="solver_neg" localSheetId="16" hidden="1">1</definedName>
    <definedName name="solver_neg" localSheetId="17" hidden="1">1</definedName>
    <definedName name="solver_neg" localSheetId="11" hidden="1">1</definedName>
    <definedName name="solver_neg" localSheetId="18" hidden="1">1</definedName>
    <definedName name="solver_neg" localSheetId="12" hidden="1">1</definedName>
    <definedName name="solver_neg" localSheetId="0" hidden="1">1</definedName>
    <definedName name="solver_neg" localSheetId="5" hidden="1">1</definedName>
    <definedName name="solver_nod" localSheetId="9" hidden="1">2147483647</definedName>
    <definedName name="solver_nod" localSheetId="13" hidden="1">1000000000</definedName>
    <definedName name="solver_nod" localSheetId="14" hidden="1">1000000000</definedName>
    <definedName name="solver_nod" localSheetId="10" hidden="1">1000000000</definedName>
    <definedName name="solver_nod" localSheetId="15" hidden="1">1000000000</definedName>
    <definedName name="solver_nod" localSheetId="16" hidden="1">1000000000</definedName>
    <definedName name="solver_nod" localSheetId="17" hidden="1">1000000000</definedName>
    <definedName name="solver_nod" localSheetId="11" hidden="1">1000000000</definedName>
    <definedName name="solver_nod" localSheetId="18" hidden="1">2147483647</definedName>
    <definedName name="solver_nod" localSheetId="12" hidden="1">1000000000</definedName>
    <definedName name="solver_num" localSheetId="9" hidden="1">6</definedName>
    <definedName name="solver_num" localSheetId="13" hidden="1">1</definedName>
    <definedName name="solver_num" localSheetId="14" hidden="1">1</definedName>
    <definedName name="solver_num" localSheetId="10" hidden="1">1</definedName>
    <definedName name="solver_num" localSheetId="15" hidden="1">1</definedName>
    <definedName name="solver_num" localSheetId="16" hidden="1">1</definedName>
    <definedName name="solver_num" localSheetId="17" hidden="1">1</definedName>
    <definedName name="solver_num" localSheetId="11" hidden="1">1</definedName>
    <definedName name="solver_num" localSheetId="18" hidden="1">1</definedName>
    <definedName name="solver_num" localSheetId="12" hidden="1">1</definedName>
    <definedName name="solver_num" localSheetId="0" hidden="1">0</definedName>
    <definedName name="solver_num" localSheetId="5" hidden="1">0</definedName>
    <definedName name="solver_nwt" localSheetId="9" hidden="1">1</definedName>
    <definedName name="solver_nwt" localSheetId="13" hidden="1">1</definedName>
    <definedName name="solver_nwt" localSheetId="14" hidden="1">1</definedName>
    <definedName name="solver_nwt" localSheetId="10" hidden="1">1</definedName>
    <definedName name="solver_nwt" localSheetId="15" hidden="1">1</definedName>
    <definedName name="solver_nwt" localSheetId="16" hidden="1">1</definedName>
    <definedName name="solver_nwt" localSheetId="17" hidden="1">1</definedName>
    <definedName name="solver_nwt" localSheetId="11" hidden="1">1</definedName>
    <definedName name="solver_nwt" localSheetId="18" hidden="1">1</definedName>
    <definedName name="solver_nwt" localSheetId="12" hidden="1">1</definedName>
    <definedName name="solver_opt" localSheetId="9" hidden="1">'1'!$C$12</definedName>
    <definedName name="solver_opt" localSheetId="13" hidden="1">'12'!$S$25</definedName>
    <definedName name="solver_opt" localSheetId="14" hidden="1">'16'!$S$29</definedName>
    <definedName name="solver_opt" localSheetId="10" hidden="1">'2'!$E$23</definedName>
    <definedName name="solver_opt" localSheetId="15" hidden="1">'20'!$S$33</definedName>
    <definedName name="solver_opt" localSheetId="16" hidden="1">'24'!$S$37</definedName>
    <definedName name="solver_opt" localSheetId="17" hidden="1">'32'!$T$45</definedName>
    <definedName name="solver_opt" localSheetId="11" hidden="1">'4'!$E$27</definedName>
    <definedName name="solver_opt" localSheetId="18" hidden="1">'40'!$T$53</definedName>
    <definedName name="solver_opt" localSheetId="12" hidden="1">'8'!$E$35</definedName>
    <definedName name="solver_opt" localSheetId="5" hidden="1">'Map Template'!$E$15</definedName>
    <definedName name="solver_pre" localSheetId="9" hidden="1">0.000001</definedName>
    <definedName name="solver_pre" localSheetId="13" hidden="1">0.00000001</definedName>
    <definedName name="solver_pre" localSheetId="14" hidden="1">0.00000001</definedName>
    <definedName name="solver_pre" localSheetId="10" hidden="1">0.00000001</definedName>
    <definedName name="solver_pre" localSheetId="15" hidden="1">0.00000001</definedName>
    <definedName name="solver_pre" localSheetId="16" hidden="1">0.00000001</definedName>
    <definedName name="solver_pre" localSheetId="17" hidden="1">0.00000001</definedName>
    <definedName name="solver_pre" localSheetId="11" hidden="1">0.00000001</definedName>
    <definedName name="solver_pre" localSheetId="18" hidden="1">0.000001</definedName>
    <definedName name="solver_pre" localSheetId="12" hidden="1">0.00000001</definedName>
    <definedName name="solver_rbv" localSheetId="9" hidden="1">2</definedName>
    <definedName name="solver_rbv" localSheetId="13" hidden="1">1</definedName>
    <definedName name="solver_rbv" localSheetId="14" hidden="1">1</definedName>
    <definedName name="solver_rbv" localSheetId="10" hidden="1">2</definedName>
    <definedName name="solver_rbv" localSheetId="15" hidden="1">1</definedName>
    <definedName name="solver_rbv" localSheetId="16" hidden="1">1</definedName>
    <definedName name="solver_rbv" localSheetId="17" hidden="1">1</definedName>
    <definedName name="solver_rbv" localSheetId="11" hidden="1">2</definedName>
    <definedName name="solver_rbv" localSheetId="18" hidden="1">1</definedName>
    <definedName name="solver_rbv" localSheetId="12" hidden="1">2</definedName>
    <definedName name="solver_rel1" localSheetId="9" hidden="1">6</definedName>
    <definedName name="solver_rel1" localSheetId="13" hidden="1">6</definedName>
    <definedName name="solver_rel1" localSheetId="14" hidden="1">6</definedName>
    <definedName name="solver_rel1" localSheetId="10" hidden="1">6</definedName>
    <definedName name="solver_rel1" localSheetId="15" hidden="1">6</definedName>
    <definedName name="solver_rel1" localSheetId="16" hidden="1">6</definedName>
    <definedName name="solver_rel1" localSheetId="17" hidden="1">6</definedName>
    <definedName name="solver_rel1" localSheetId="11" hidden="1">6</definedName>
    <definedName name="solver_rel1" localSheetId="18" hidden="1">6</definedName>
    <definedName name="solver_rel1" localSheetId="12" hidden="1">6</definedName>
    <definedName name="solver_rel1" localSheetId="0" hidden="1">6</definedName>
    <definedName name="solver_rel10" localSheetId="10" hidden="1">6</definedName>
    <definedName name="solver_rel10" localSheetId="11" hidden="1">6</definedName>
    <definedName name="solver_rel10" localSheetId="12" hidden="1">6</definedName>
    <definedName name="solver_rel11" localSheetId="10" hidden="1">6</definedName>
    <definedName name="solver_rel11" localSheetId="11" hidden="1">6</definedName>
    <definedName name="solver_rel11" localSheetId="12" hidden="1">6</definedName>
    <definedName name="solver_rel2" localSheetId="9" hidden="1">6</definedName>
    <definedName name="solver_rel2" localSheetId="13" hidden="1">6</definedName>
    <definedName name="solver_rel2" localSheetId="14" hidden="1">6</definedName>
    <definedName name="solver_rel2" localSheetId="10" hidden="1">6</definedName>
    <definedName name="solver_rel2" localSheetId="15" hidden="1">6</definedName>
    <definedName name="solver_rel2" localSheetId="16" hidden="1">6</definedName>
    <definedName name="solver_rel2" localSheetId="17" hidden="1">6</definedName>
    <definedName name="solver_rel2" localSheetId="11" hidden="1">6</definedName>
    <definedName name="solver_rel2" localSheetId="18" hidden="1">6</definedName>
    <definedName name="solver_rel2" localSheetId="12" hidden="1">6</definedName>
    <definedName name="solver_rel3" localSheetId="9" hidden="1">6</definedName>
    <definedName name="solver_rel3" localSheetId="13" hidden="1">6</definedName>
    <definedName name="solver_rel3" localSheetId="14" hidden="1">6</definedName>
    <definedName name="solver_rel3" localSheetId="10" hidden="1">6</definedName>
    <definedName name="solver_rel3" localSheetId="15" hidden="1">6</definedName>
    <definedName name="solver_rel3" localSheetId="16" hidden="1">6</definedName>
    <definedName name="solver_rel3" localSheetId="17" hidden="1">6</definedName>
    <definedName name="solver_rel3" localSheetId="11" hidden="1">6</definedName>
    <definedName name="solver_rel3" localSheetId="18" hidden="1">6</definedName>
    <definedName name="solver_rel3" localSheetId="12" hidden="1">6</definedName>
    <definedName name="solver_rel4" localSheetId="9" hidden="1">6</definedName>
    <definedName name="solver_rel4" localSheetId="13" hidden="1">6</definedName>
    <definedName name="solver_rel4" localSheetId="14" hidden="1">6</definedName>
    <definedName name="solver_rel4" localSheetId="10" hidden="1">6</definedName>
    <definedName name="solver_rel4" localSheetId="15" hidden="1">6</definedName>
    <definedName name="solver_rel4" localSheetId="16" hidden="1">6</definedName>
    <definedName name="solver_rel4" localSheetId="17" hidden="1">6</definedName>
    <definedName name="solver_rel4" localSheetId="11" hidden="1">6</definedName>
    <definedName name="solver_rel4" localSheetId="18" hidden="1">6</definedName>
    <definedName name="solver_rel4" localSheetId="12" hidden="1">6</definedName>
    <definedName name="solver_rel5" localSheetId="9" hidden="1">6</definedName>
    <definedName name="solver_rel5" localSheetId="13" hidden="1">6</definedName>
    <definedName name="solver_rel5" localSheetId="14" hidden="1">6</definedName>
    <definedName name="solver_rel5" localSheetId="10" hidden="1">6</definedName>
    <definedName name="solver_rel5" localSheetId="11" hidden="1">6</definedName>
    <definedName name="solver_rel5" localSheetId="18" hidden="1">6</definedName>
    <definedName name="solver_rel5" localSheetId="12" hidden="1">6</definedName>
    <definedName name="solver_rel6" localSheetId="9" hidden="1">6</definedName>
    <definedName name="solver_rel6" localSheetId="13" hidden="1">6</definedName>
    <definedName name="solver_rel6" localSheetId="14" hidden="1">6</definedName>
    <definedName name="solver_rel6" localSheetId="10" hidden="1">6</definedName>
    <definedName name="solver_rel6" localSheetId="11" hidden="1">6</definedName>
    <definedName name="solver_rel6" localSheetId="18" hidden="1">6</definedName>
    <definedName name="solver_rel6" localSheetId="12" hidden="1">6</definedName>
    <definedName name="solver_rel7" localSheetId="10" hidden="1">6</definedName>
    <definedName name="solver_rel7" localSheetId="11" hidden="1">6</definedName>
    <definedName name="solver_rel7" localSheetId="18" hidden="1">6</definedName>
    <definedName name="solver_rel7" localSheetId="12" hidden="1">6</definedName>
    <definedName name="solver_rel8" localSheetId="10" hidden="1">6</definedName>
    <definedName name="solver_rel8" localSheetId="11" hidden="1">6</definedName>
    <definedName name="solver_rel8" localSheetId="18" hidden="1">6</definedName>
    <definedName name="solver_rel8" localSheetId="12" hidden="1">6</definedName>
    <definedName name="solver_rel9" localSheetId="10" hidden="1">6</definedName>
    <definedName name="solver_rel9" localSheetId="11" hidden="1">6</definedName>
    <definedName name="solver_rel9" localSheetId="18" hidden="1">6</definedName>
    <definedName name="solver_rel9" localSheetId="12" hidden="1">6</definedName>
    <definedName name="solver_rhs1" localSheetId="9" hidden="1">AllDifferent</definedName>
    <definedName name="solver_rhs1" localSheetId="13" hidden="1">AllDifferent</definedName>
    <definedName name="solver_rhs1" localSheetId="14" hidden="1">AllDifferent</definedName>
    <definedName name="solver_rhs1" localSheetId="10" hidden="1">AllDifferent</definedName>
    <definedName name="solver_rhs1" localSheetId="15" hidden="1">AllDifferent</definedName>
    <definedName name="solver_rhs1" localSheetId="16" hidden="1">AllDifferent</definedName>
    <definedName name="solver_rhs1" localSheetId="17" hidden="1">AllDifferent</definedName>
    <definedName name="solver_rhs1" localSheetId="11" hidden="1">AllDifferent</definedName>
    <definedName name="solver_rhs1" localSheetId="18" hidden="1">AllDifferent</definedName>
    <definedName name="solver_rhs1" localSheetId="12" hidden="1">AllDifferent</definedName>
    <definedName name="solver_rhs1" localSheetId="0" hidden="1">AllDifferent</definedName>
    <definedName name="solver_rhs10" localSheetId="10" hidden="1">AllDifferent</definedName>
    <definedName name="solver_rhs10" localSheetId="11" hidden="1">AllDifferent</definedName>
    <definedName name="solver_rhs10" localSheetId="12" hidden="1">AllDifferent</definedName>
    <definedName name="solver_rhs11" localSheetId="10" hidden="1">AllDifferent</definedName>
    <definedName name="solver_rhs11" localSheetId="11" hidden="1">AllDifferent</definedName>
    <definedName name="solver_rhs11" localSheetId="12" hidden="1">AllDifferent</definedName>
    <definedName name="solver_rhs2" localSheetId="9" hidden="1">AllDifferent</definedName>
    <definedName name="solver_rhs2" localSheetId="13" hidden="1">AllDifferent</definedName>
    <definedName name="solver_rhs2" localSheetId="14" hidden="1">AllDifferent</definedName>
    <definedName name="solver_rhs2" localSheetId="10" hidden="1">AllDifferent</definedName>
    <definedName name="solver_rhs2" localSheetId="15" hidden="1">AllDifferent</definedName>
    <definedName name="solver_rhs2" localSheetId="16" hidden="1">AllDifferent</definedName>
    <definedName name="solver_rhs2" localSheetId="17" hidden="1">AllDifferent</definedName>
    <definedName name="solver_rhs2" localSheetId="11" hidden="1">AllDifferent</definedName>
    <definedName name="solver_rhs2" localSheetId="18" hidden="1">AllDifferent</definedName>
    <definedName name="solver_rhs2" localSheetId="12" hidden="1">AllDifferent</definedName>
    <definedName name="solver_rhs3" localSheetId="9" hidden="1">AllDifferent</definedName>
    <definedName name="solver_rhs3" localSheetId="13" hidden="1">AllDifferent</definedName>
    <definedName name="solver_rhs3" localSheetId="14" hidden="1">AllDifferent</definedName>
    <definedName name="solver_rhs3" localSheetId="10" hidden="1">AllDifferent</definedName>
    <definedName name="solver_rhs3" localSheetId="15" hidden="1">AllDifferent</definedName>
    <definedName name="solver_rhs3" localSheetId="16" hidden="1">AllDifferent</definedName>
    <definedName name="solver_rhs3" localSheetId="17" hidden="1">AllDifferent</definedName>
    <definedName name="solver_rhs3" localSheetId="11" hidden="1">AllDifferent</definedName>
    <definedName name="solver_rhs3" localSheetId="18" hidden="1">AllDifferent</definedName>
    <definedName name="solver_rhs3" localSheetId="12" hidden="1">AllDifferent</definedName>
    <definedName name="solver_rhs4" localSheetId="9" hidden="1">AllDifferent</definedName>
    <definedName name="solver_rhs4" localSheetId="13" hidden="1">AllDifferent</definedName>
    <definedName name="solver_rhs4" localSheetId="14" hidden="1">AllDifferent</definedName>
    <definedName name="solver_rhs4" localSheetId="10" hidden="1">AllDifferent</definedName>
    <definedName name="solver_rhs4" localSheetId="15" hidden="1">AllDifferent</definedName>
    <definedName name="solver_rhs4" localSheetId="16" hidden="1">AllDifferent</definedName>
    <definedName name="solver_rhs4" localSheetId="17" hidden="1">AllDifferent</definedName>
    <definedName name="solver_rhs4" localSheetId="11" hidden="1">AllDifferent</definedName>
    <definedName name="solver_rhs4" localSheetId="18" hidden="1">AllDifferent</definedName>
    <definedName name="solver_rhs4" localSheetId="12" hidden="1">AllDifferent</definedName>
    <definedName name="solver_rhs5" localSheetId="9" hidden="1">AllDifferent</definedName>
    <definedName name="solver_rhs5" localSheetId="13" hidden="1">AllDifferent</definedName>
    <definedName name="solver_rhs5" localSheetId="14" hidden="1">AllDifferent</definedName>
    <definedName name="solver_rhs5" localSheetId="10" hidden="1">AllDifferent</definedName>
    <definedName name="solver_rhs5" localSheetId="11" hidden="1">AllDifferent</definedName>
    <definedName name="solver_rhs5" localSheetId="18" hidden="1">AllDifferent</definedName>
    <definedName name="solver_rhs5" localSheetId="12" hidden="1">AllDifferent</definedName>
    <definedName name="solver_rhs6" localSheetId="9" hidden="1">AllDifferent</definedName>
    <definedName name="solver_rhs6" localSheetId="13" hidden="1">AllDifferent</definedName>
    <definedName name="solver_rhs6" localSheetId="14" hidden="1">AllDifferent</definedName>
    <definedName name="solver_rhs6" localSheetId="10" hidden="1">AllDifferent</definedName>
    <definedName name="solver_rhs6" localSheetId="11" hidden="1">AllDifferent</definedName>
    <definedName name="solver_rhs6" localSheetId="18" hidden="1">AllDifferent</definedName>
    <definedName name="solver_rhs6" localSheetId="12" hidden="1">AllDifferent</definedName>
    <definedName name="solver_rhs7" localSheetId="10" hidden="1">AllDifferent</definedName>
    <definedName name="solver_rhs7" localSheetId="11" hidden="1">AllDifferent</definedName>
    <definedName name="solver_rhs7" localSheetId="18" hidden="1">AllDifferent</definedName>
    <definedName name="solver_rhs7" localSheetId="12" hidden="1">AllDifferent</definedName>
    <definedName name="solver_rhs8" localSheetId="10" hidden="1">AllDifferent</definedName>
    <definedName name="solver_rhs8" localSheetId="11" hidden="1">AllDifferent</definedName>
    <definedName name="solver_rhs8" localSheetId="18" hidden="1">AllDifferent</definedName>
    <definedName name="solver_rhs8" localSheetId="12" hidden="1">AllDifferent</definedName>
    <definedName name="solver_rhs9" localSheetId="10" hidden="1">AllDifferent</definedName>
    <definedName name="solver_rhs9" localSheetId="11" hidden="1">AllDifferent</definedName>
    <definedName name="solver_rhs9" localSheetId="18" hidden="1">AllDifferent</definedName>
    <definedName name="solver_rhs9" localSheetId="12" hidden="1">AllDifferent</definedName>
    <definedName name="solver_rlx" localSheetId="9" hidden="1">2</definedName>
    <definedName name="solver_rlx" localSheetId="13" hidden="1">2</definedName>
    <definedName name="solver_rlx" localSheetId="14" hidden="1">2</definedName>
    <definedName name="solver_rlx" localSheetId="10" hidden="1">2</definedName>
    <definedName name="solver_rlx" localSheetId="15" hidden="1">2</definedName>
    <definedName name="solver_rlx" localSheetId="16" hidden="1">2</definedName>
    <definedName name="solver_rlx" localSheetId="17" hidden="1">2</definedName>
    <definedName name="solver_rlx" localSheetId="11" hidden="1">2</definedName>
    <definedName name="solver_rlx" localSheetId="18" hidden="1">2</definedName>
    <definedName name="solver_rlx" localSheetId="12" hidden="1">2</definedName>
    <definedName name="solver_rsd" localSheetId="9" hidden="1">0</definedName>
    <definedName name="solver_rsd" localSheetId="13" hidden="1">0</definedName>
    <definedName name="solver_rsd" localSheetId="14" hidden="1">0</definedName>
    <definedName name="solver_rsd" localSheetId="10" hidden="1">0</definedName>
    <definedName name="solver_rsd" localSheetId="15" hidden="1">0</definedName>
    <definedName name="solver_rsd" localSheetId="16" hidden="1">0</definedName>
    <definedName name="solver_rsd" localSheetId="17" hidden="1">50</definedName>
    <definedName name="solver_rsd" localSheetId="11" hidden="1">0</definedName>
    <definedName name="solver_rsd" localSheetId="18" hidden="1">0</definedName>
    <definedName name="solver_rsd" localSheetId="12" hidden="1">0</definedName>
    <definedName name="solver_scl" localSheetId="9" hidden="1">2</definedName>
    <definedName name="solver_scl" localSheetId="13" hidden="1">1</definedName>
    <definedName name="solver_scl" localSheetId="14" hidden="1">1</definedName>
    <definedName name="solver_scl" localSheetId="10" hidden="1">2</definedName>
    <definedName name="solver_scl" localSheetId="15" hidden="1">1</definedName>
    <definedName name="solver_scl" localSheetId="16" hidden="1">1</definedName>
    <definedName name="solver_scl" localSheetId="17" hidden="1">1</definedName>
    <definedName name="solver_scl" localSheetId="11" hidden="1">2</definedName>
    <definedName name="solver_scl" localSheetId="18" hidden="1">1</definedName>
    <definedName name="solver_scl" localSheetId="12" hidden="1">2</definedName>
    <definedName name="solver_sho" localSheetId="9" hidden="1">2</definedName>
    <definedName name="solver_sho" localSheetId="13" hidden="1">2</definedName>
    <definedName name="solver_sho" localSheetId="14" hidden="1">2</definedName>
    <definedName name="solver_sho" localSheetId="10" hidden="1">2</definedName>
    <definedName name="solver_sho" localSheetId="15" hidden="1">2</definedName>
    <definedName name="solver_sho" localSheetId="16" hidden="1">2</definedName>
    <definedName name="solver_sho" localSheetId="17" hidden="1">2</definedName>
    <definedName name="solver_sho" localSheetId="11" hidden="1">2</definedName>
    <definedName name="solver_sho" localSheetId="18" hidden="1">2</definedName>
    <definedName name="solver_sho" localSheetId="12" hidden="1">2</definedName>
    <definedName name="solver_ssz" localSheetId="9" hidden="1">100</definedName>
    <definedName name="solver_ssz" localSheetId="13" hidden="1">100</definedName>
    <definedName name="solver_ssz" localSheetId="14" hidden="1">100</definedName>
    <definedName name="solver_ssz" localSheetId="10" hidden="1">100</definedName>
    <definedName name="solver_ssz" localSheetId="15" hidden="1">100</definedName>
    <definedName name="solver_ssz" localSheetId="16" hidden="1">100</definedName>
    <definedName name="solver_ssz" localSheetId="17" hidden="1">100</definedName>
    <definedName name="solver_ssz" localSheetId="11" hidden="1">100</definedName>
    <definedName name="solver_ssz" localSheetId="18" hidden="1">10</definedName>
    <definedName name="solver_ssz" localSheetId="12" hidden="1">100</definedName>
    <definedName name="solver_tim" localSheetId="9" hidden="1">20</definedName>
    <definedName name="solver_tim" localSheetId="13" hidden="1">60</definedName>
    <definedName name="solver_tim" localSheetId="14" hidden="1">60</definedName>
    <definedName name="solver_tim" localSheetId="10" hidden="1">1000000</definedName>
    <definedName name="solver_tim" localSheetId="15" hidden="1">1000000</definedName>
    <definedName name="solver_tim" localSheetId="16" hidden="1">1000000</definedName>
    <definedName name="solver_tim" localSheetId="17" hidden="1">1000000</definedName>
    <definedName name="solver_tim" localSheetId="11" hidden="1">60</definedName>
    <definedName name="solver_tim" localSheetId="18" hidden="1">180</definedName>
    <definedName name="solver_tim" localSheetId="12" hidden="1">60</definedName>
    <definedName name="solver_tol" localSheetId="9" hidden="1">0.01</definedName>
    <definedName name="solver_tol" localSheetId="13" hidden="1">0.01</definedName>
    <definedName name="solver_tol" localSheetId="14" hidden="1">0.01</definedName>
    <definedName name="solver_tol" localSheetId="10" hidden="1">0.01</definedName>
    <definedName name="solver_tol" localSheetId="15" hidden="1">0.01</definedName>
    <definedName name="solver_tol" localSheetId="16" hidden="1">0.01</definedName>
    <definedName name="solver_tol" localSheetId="17" hidden="1">0.01</definedName>
    <definedName name="solver_tol" localSheetId="11" hidden="1">0.01</definedName>
    <definedName name="solver_tol" localSheetId="18" hidden="1">0.01</definedName>
    <definedName name="solver_tol" localSheetId="12" hidden="1">0.01</definedName>
    <definedName name="solver_typ" localSheetId="9" hidden="1">2</definedName>
    <definedName name="solver_typ" localSheetId="13" hidden="1">2</definedName>
    <definedName name="solver_typ" localSheetId="14" hidden="1">2</definedName>
    <definedName name="solver_typ" localSheetId="10" hidden="1">2</definedName>
    <definedName name="solver_typ" localSheetId="15" hidden="1">2</definedName>
    <definedName name="solver_typ" localSheetId="16" hidden="1">2</definedName>
    <definedName name="solver_typ" localSheetId="17" hidden="1">2</definedName>
    <definedName name="solver_typ" localSheetId="11" hidden="1">2</definedName>
    <definedName name="solver_typ" localSheetId="18" hidden="1">2</definedName>
    <definedName name="solver_typ" localSheetId="12" hidden="1">2</definedName>
    <definedName name="solver_typ" localSheetId="0" hidden="1">1</definedName>
    <definedName name="solver_typ" localSheetId="5" hidden="1">1</definedName>
    <definedName name="solver_val" localSheetId="9" hidden="1">0</definedName>
    <definedName name="solver_val" localSheetId="13" hidden="1">0</definedName>
    <definedName name="solver_val" localSheetId="14" hidden="1">0</definedName>
    <definedName name="solver_val" localSheetId="10" hidden="1">0</definedName>
    <definedName name="solver_val" localSheetId="15" hidden="1">0</definedName>
    <definedName name="solver_val" localSheetId="16" hidden="1">0</definedName>
    <definedName name="solver_val" localSheetId="17" hidden="1">0</definedName>
    <definedName name="solver_val" localSheetId="11" hidden="1">0</definedName>
    <definedName name="solver_val" localSheetId="18" hidden="1">0</definedName>
    <definedName name="solver_val" localSheetId="12" hidden="1">0</definedName>
    <definedName name="solver_val" localSheetId="0" hidden="1">0</definedName>
    <definedName name="solver_val" localSheetId="5" hidden="1">0</definedName>
    <definedName name="solver_ver" localSheetId="9" hidden="1">3</definedName>
    <definedName name="solver_ver" localSheetId="13" hidden="1">3</definedName>
    <definedName name="solver_ver" localSheetId="14" hidden="1">3</definedName>
    <definedName name="solver_ver" localSheetId="10" hidden="1">3</definedName>
    <definedName name="solver_ver" localSheetId="15" hidden="1">3</definedName>
    <definedName name="solver_ver" localSheetId="16" hidden="1">3</definedName>
    <definedName name="solver_ver" localSheetId="17" hidden="1">3</definedName>
    <definedName name="solver_ver" localSheetId="11" hidden="1">3</definedName>
    <definedName name="solver_ver" localSheetId="18" hidden="1">3</definedName>
    <definedName name="solver_ver" localSheetId="12" hidden="1">3</definedName>
    <definedName name="solver_ver" localSheetId="0" hidden="1">3</definedName>
    <definedName name="solver_ver" localSheetId="5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8" i="4" l="1"/>
  <c r="J45" i="4"/>
  <c r="J44" i="4"/>
  <c r="J43" i="4"/>
  <c r="J42" i="4"/>
  <c r="J41" i="4"/>
  <c r="J40" i="4"/>
  <c r="J39" i="4"/>
  <c r="C10" i="20" l="1"/>
  <c r="F2" i="21" l="1"/>
  <c r="I57" i="4" l="1"/>
  <c r="D3" i="4" l="1"/>
  <c r="C3" i="4"/>
  <c r="B25" i="4" s="1"/>
  <c r="B42" i="4" l="1"/>
  <c r="D2" i="2" s="1"/>
  <c r="D13" i="41"/>
  <c r="C13" i="41"/>
  <c r="AB2" i="3"/>
  <c r="C14" i="41"/>
  <c r="D14" i="41"/>
  <c r="E21" i="41" l="1"/>
  <c r="I17" i="41"/>
  <c r="E20" i="41"/>
  <c r="H17" i="41"/>
  <c r="D21" i="41"/>
  <c r="I16" i="41"/>
  <c r="D20" i="41"/>
  <c r="H16" i="41"/>
  <c r="D4" i="41"/>
  <c r="E4" i="41"/>
  <c r="D19" i="41" s="1"/>
  <c r="D5" i="41"/>
  <c r="E5" i="41"/>
  <c r="J46" i="4"/>
  <c r="A9" i="26" l="1"/>
  <c r="F4" i="26" s="1"/>
  <c r="I56" i="4"/>
  <c r="I55" i="4"/>
  <c r="I58" i="4"/>
  <c r="A23" i="26"/>
  <c r="A20" i="26"/>
  <c r="A31" i="26"/>
  <c r="A36" i="26"/>
  <c r="C42" i="26"/>
  <c r="C48" i="26"/>
  <c r="B48" i="26" s="1"/>
  <c r="F3" i="26" l="1"/>
  <c r="F2" i="26"/>
  <c r="B42" i="26"/>
  <c r="A37" i="26" l="1"/>
  <c r="B37" i="26" s="1"/>
  <c r="C37" i="26" s="1"/>
  <c r="B36" i="26"/>
  <c r="C36" i="26" s="1"/>
  <c r="N3" i="26" l="1"/>
  <c r="N2" i="26"/>
  <c r="A33" i="26"/>
  <c r="B33" i="26" s="1"/>
  <c r="C33" i="26" s="1"/>
  <c r="A32" i="26"/>
  <c r="B32" i="26" s="1"/>
  <c r="C32" i="26" s="1"/>
  <c r="B31" i="26"/>
  <c r="C31" i="26" s="1"/>
  <c r="A30" i="26"/>
  <c r="B30" i="26" s="1"/>
  <c r="C30" i="26" l="1"/>
  <c r="B20" i="26"/>
  <c r="C20" i="26" s="1"/>
  <c r="P16" i="1" l="1"/>
  <c r="E34" i="25" l="1"/>
  <c r="L2" i="26" l="1"/>
  <c r="K2" i="26" s="1"/>
  <c r="A21" i="26"/>
  <c r="B21" i="26" s="1"/>
  <c r="C21" i="26" s="1"/>
  <c r="A22" i="26"/>
  <c r="B22" i="26" s="1"/>
  <c r="C22" i="26" s="1"/>
  <c r="B23" i="26"/>
  <c r="C23" i="26" s="1"/>
  <c r="A24" i="26"/>
  <c r="B24" i="26" s="1"/>
  <c r="C24" i="26" s="1"/>
  <c r="A25" i="26"/>
  <c r="B25" i="26" s="1"/>
  <c r="C25" i="26" s="1"/>
  <c r="A26" i="26"/>
  <c r="B26" i="26" s="1"/>
  <c r="C26" i="26" s="1"/>
  <c r="A27" i="26"/>
  <c r="B27" i="26" s="1"/>
  <c r="C27" i="26" s="1"/>
  <c r="A13" i="26"/>
  <c r="B13" i="26" s="1"/>
  <c r="C13" i="26" s="1"/>
  <c r="I3" i="25" l="1"/>
  <c r="D2" i="26" l="1"/>
  <c r="B2" i="26" l="1"/>
  <c r="C2" i="26" s="1"/>
  <c r="D26" i="25"/>
  <c r="F26" i="25" s="1"/>
  <c r="G26" i="25" s="1"/>
  <c r="D27" i="25"/>
  <c r="F27" i="25" s="1"/>
  <c r="G27" i="25" s="1"/>
  <c r="D28" i="25"/>
  <c r="F28" i="25" s="1"/>
  <c r="G28" i="25" s="1"/>
  <c r="D29" i="25"/>
  <c r="F29" i="25" s="1"/>
  <c r="G29" i="25" s="1"/>
  <c r="D30" i="25"/>
  <c r="F30" i="25" s="1"/>
  <c r="G30" i="25" s="1"/>
  <c r="D31" i="25"/>
  <c r="F31" i="25" s="1"/>
  <c r="G31" i="25" s="1"/>
  <c r="D32" i="25"/>
  <c r="F32" i="25" s="1"/>
  <c r="G32" i="25" s="1"/>
  <c r="D33" i="25"/>
  <c r="F33" i="25" s="1"/>
  <c r="G33" i="25" s="1"/>
  <c r="L26" i="26" l="1"/>
  <c r="L27" i="26"/>
  <c r="L28" i="26"/>
  <c r="L29" i="26"/>
  <c r="L30" i="26"/>
  <c r="L31" i="26"/>
  <c r="L32" i="26"/>
  <c r="L33" i="26"/>
  <c r="L25" i="26"/>
  <c r="D3" i="25" l="1"/>
  <c r="F3" i="25" s="1"/>
  <c r="D4" i="25"/>
  <c r="F4" i="25" s="1"/>
  <c r="G4" i="25" s="1"/>
  <c r="D5" i="25"/>
  <c r="F5" i="25" s="1"/>
  <c r="G5" i="25" s="1"/>
  <c r="D6" i="25"/>
  <c r="F6" i="25" s="1"/>
  <c r="G6" i="25" s="1"/>
  <c r="D7" i="25"/>
  <c r="F7" i="25" s="1"/>
  <c r="G7" i="25" s="1"/>
  <c r="D8" i="25"/>
  <c r="F8" i="25" s="1"/>
  <c r="G8" i="25" s="1"/>
  <c r="D9" i="25"/>
  <c r="F9" i="25" s="1"/>
  <c r="G9" i="25" s="1"/>
  <c r="D10" i="25"/>
  <c r="F10" i="25" s="1"/>
  <c r="G10" i="25" s="1"/>
  <c r="D11" i="25"/>
  <c r="F11" i="25" s="1"/>
  <c r="G11" i="25" s="1"/>
  <c r="D12" i="25"/>
  <c r="F12" i="25" s="1"/>
  <c r="G12" i="25" s="1"/>
  <c r="D13" i="25"/>
  <c r="F13" i="25" s="1"/>
  <c r="G13" i="25" s="1"/>
  <c r="D14" i="25"/>
  <c r="F14" i="25" s="1"/>
  <c r="G14" i="25" s="1"/>
  <c r="D15" i="25"/>
  <c r="F15" i="25" s="1"/>
  <c r="G15" i="25" s="1"/>
  <c r="D16" i="25"/>
  <c r="F16" i="25" s="1"/>
  <c r="G16" i="25" s="1"/>
  <c r="D17" i="25"/>
  <c r="F17" i="25" s="1"/>
  <c r="G17" i="25" s="1"/>
  <c r="D18" i="25"/>
  <c r="F18" i="25" s="1"/>
  <c r="G18" i="25" s="1"/>
  <c r="D19" i="25"/>
  <c r="F19" i="25" s="1"/>
  <c r="G19" i="25" s="1"/>
  <c r="D20" i="25"/>
  <c r="F20" i="25" s="1"/>
  <c r="G20" i="25" s="1"/>
  <c r="D21" i="25"/>
  <c r="F21" i="25" s="1"/>
  <c r="G21" i="25" s="1"/>
  <c r="D22" i="25"/>
  <c r="F22" i="25" s="1"/>
  <c r="G22" i="25" s="1"/>
  <c r="D23" i="25"/>
  <c r="F23" i="25" s="1"/>
  <c r="G23" i="25" s="1"/>
  <c r="D24" i="25"/>
  <c r="F24" i="25" s="1"/>
  <c r="G24" i="25" s="1"/>
  <c r="D25" i="25"/>
  <c r="F25" i="25" s="1"/>
  <c r="G25" i="25" s="1"/>
  <c r="D2" i="25"/>
  <c r="F2" i="25" s="1"/>
  <c r="G2" i="25" s="1"/>
  <c r="G3" i="25" l="1"/>
  <c r="G34" i="25" s="1"/>
  <c r="F34" i="25"/>
  <c r="L3" i="26"/>
  <c r="L4" i="26"/>
  <c r="L5" i="26"/>
  <c r="L6" i="26"/>
  <c r="L7" i="26"/>
  <c r="L8" i="26"/>
  <c r="L9" i="26"/>
  <c r="L10" i="26"/>
  <c r="L11" i="26"/>
  <c r="L12" i="26"/>
  <c r="L13" i="26"/>
  <c r="L14" i="26"/>
  <c r="L15" i="26"/>
  <c r="L16" i="26"/>
  <c r="L17" i="26"/>
  <c r="L18" i="26"/>
  <c r="L19" i="26"/>
  <c r="L20" i="26"/>
  <c r="L21" i="26"/>
  <c r="L22" i="26"/>
  <c r="L23" i="26"/>
  <c r="L24" i="26"/>
  <c r="I5" i="25" l="1"/>
  <c r="L43" i="4" l="1"/>
  <c r="L45" i="4"/>
  <c r="L48" i="4"/>
  <c r="E77" i="4"/>
  <c r="D77" i="4"/>
  <c r="C77" i="4"/>
  <c r="E76" i="4"/>
  <c r="D76" i="4"/>
  <c r="C76" i="4"/>
  <c r="E75" i="4"/>
  <c r="D75" i="4"/>
  <c r="C75" i="4"/>
  <c r="B75" i="4"/>
  <c r="A75" i="4"/>
  <c r="E74" i="4"/>
  <c r="D74" i="4"/>
  <c r="C74" i="4"/>
  <c r="B74" i="4"/>
  <c r="A74" i="4"/>
  <c r="C73" i="4"/>
  <c r="B73" i="4"/>
  <c r="A73" i="4"/>
  <c r="D72" i="4"/>
  <c r="C72" i="4"/>
  <c r="D71" i="4"/>
  <c r="C71" i="4"/>
  <c r="D70" i="4"/>
  <c r="C70" i="4"/>
  <c r="D69" i="4"/>
  <c r="C69" i="4"/>
  <c r="E68" i="4"/>
  <c r="D68" i="4"/>
  <c r="C68" i="4"/>
  <c r="E67" i="4"/>
  <c r="D67" i="4"/>
  <c r="C67" i="4"/>
  <c r="E66" i="4"/>
  <c r="D66" i="4"/>
  <c r="C66" i="4"/>
  <c r="E65" i="4"/>
  <c r="D65" i="4"/>
  <c r="C65" i="4"/>
  <c r="E64" i="4"/>
  <c r="D64" i="4"/>
  <c r="C64" i="4"/>
  <c r="E63" i="4"/>
  <c r="D63" i="4"/>
  <c r="C63" i="4"/>
  <c r="B63" i="4"/>
  <c r="A63" i="4"/>
  <c r="E62" i="4"/>
  <c r="D62" i="4"/>
  <c r="C62" i="4"/>
  <c r="B62" i="4"/>
  <c r="A62" i="4"/>
  <c r="E61" i="4"/>
  <c r="D61" i="4"/>
  <c r="C61" i="4"/>
  <c r="B61" i="4"/>
  <c r="A61" i="4"/>
  <c r="E60" i="4"/>
  <c r="D60" i="4"/>
  <c r="C60" i="4"/>
  <c r="B60" i="4"/>
  <c r="A60" i="4"/>
  <c r="C59" i="4"/>
  <c r="C58" i="4"/>
  <c r="C57" i="4"/>
  <c r="E56" i="4"/>
  <c r="D56" i="4"/>
  <c r="C56" i="4"/>
  <c r="B56" i="4"/>
  <c r="A56" i="4"/>
  <c r="E55" i="4"/>
  <c r="D55" i="4"/>
  <c r="C55" i="4"/>
  <c r="B55" i="4"/>
  <c r="A55" i="4"/>
  <c r="E54" i="4"/>
  <c r="D54" i="4"/>
  <c r="C54" i="4"/>
  <c r="B54" i="4"/>
  <c r="A54" i="4"/>
  <c r="E53" i="4"/>
  <c r="D53" i="4"/>
  <c r="C53" i="4"/>
  <c r="A53" i="4"/>
  <c r="E52" i="4"/>
  <c r="D52" i="4"/>
  <c r="C52" i="4"/>
  <c r="B52" i="4"/>
  <c r="A52" i="4"/>
  <c r="E51" i="4"/>
  <c r="D51" i="4"/>
  <c r="C51" i="4"/>
  <c r="A51" i="4"/>
  <c r="E50" i="4"/>
  <c r="C50" i="4"/>
  <c r="A50" i="4"/>
  <c r="E49" i="4"/>
  <c r="D49" i="4"/>
  <c r="C49" i="4"/>
  <c r="B49" i="4"/>
  <c r="A49" i="4"/>
  <c r="E48" i="4"/>
  <c r="D48" i="4"/>
  <c r="C48" i="4"/>
  <c r="B48" i="4"/>
  <c r="A48" i="4"/>
  <c r="E47" i="4"/>
  <c r="D47" i="4"/>
  <c r="C47" i="4"/>
  <c r="B47" i="4"/>
  <c r="A47" i="4"/>
  <c r="E46" i="4"/>
  <c r="D46" i="4"/>
  <c r="A46" i="4"/>
  <c r="E45" i="4"/>
  <c r="D45" i="4"/>
  <c r="A45" i="4"/>
  <c r="A44" i="4"/>
  <c r="E43" i="4"/>
  <c r="D43" i="4"/>
  <c r="A43" i="4"/>
  <c r="A42" i="4"/>
  <c r="E41" i="4"/>
  <c r="D41" i="4"/>
  <c r="C41" i="4"/>
  <c r="B41" i="4"/>
  <c r="A41" i="4"/>
  <c r="AF18" i="3" l="1"/>
  <c r="C21" i="24" s="1"/>
  <c r="AG18" i="3"/>
  <c r="D21" i="24" s="1"/>
  <c r="AF19" i="3"/>
  <c r="C19" i="24" s="1"/>
  <c r="AG19" i="3"/>
  <c r="D19" i="24" s="1"/>
  <c r="AF20" i="3"/>
  <c r="C23" i="24" s="1"/>
  <c r="AG20" i="3"/>
  <c r="D23" i="24" s="1"/>
  <c r="AF21" i="3"/>
  <c r="C22" i="24" s="1"/>
  <c r="AG21" i="3"/>
  <c r="D22" i="24" s="1"/>
  <c r="AG17" i="3"/>
  <c r="D20" i="24" s="1"/>
  <c r="AF17" i="3"/>
  <c r="C20" i="24" s="1"/>
  <c r="AF13" i="3"/>
  <c r="C16" i="24" s="1"/>
  <c r="AG13" i="3"/>
  <c r="D16" i="24" s="1"/>
  <c r="AF14" i="3"/>
  <c r="C18" i="24" s="1"/>
  <c r="AG14" i="3"/>
  <c r="D18" i="24" s="1"/>
  <c r="AF15" i="3"/>
  <c r="C17" i="24" s="1"/>
  <c r="AG15" i="3"/>
  <c r="D17" i="24" s="1"/>
  <c r="AF16" i="3"/>
  <c r="C14" i="24" s="1"/>
  <c r="AG16" i="3"/>
  <c r="D14" i="24" s="1"/>
  <c r="AG12" i="3"/>
  <c r="D15" i="24" s="1"/>
  <c r="AF12" i="3"/>
  <c r="C15" i="24" s="1"/>
  <c r="AF8" i="3"/>
  <c r="C12" i="24" s="1"/>
  <c r="AG8" i="3"/>
  <c r="D12" i="24" s="1"/>
  <c r="AF9" i="3"/>
  <c r="C9" i="24" s="1"/>
  <c r="AG9" i="3"/>
  <c r="D9" i="24" s="1"/>
  <c r="AF10" i="3"/>
  <c r="C13" i="24" s="1"/>
  <c r="AG10" i="3"/>
  <c r="D13" i="24" s="1"/>
  <c r="AF11" i="3"/>
  <c r="C11" i="24" s="1"/>
  <c r="AG11" i="3"/>
  <c r="D11" i="24" s="1"/>
  <c r="AG7" i="3"/>
  <c r="D10" i="24" s="1"/>
  <c r="AF7" i="3"/>
  <c r="C10" i="24" s="1"/>
  <c r="AF3" i="3"/>
  <c r="C7" i="24" s="1"/>
  <c r="AG3" i="3"/>
  <c r="D7" i="24" s="1"/>
  <c r="AF4" i="3"/>
  <c r="C5" i="24" s="1"/>
  <c r="AG4" i="3"/>
  <c r="D5" i="24" s="1"/>
  <c r="AF5" i="3"/>
  <c r="C4" i="24" s="1"/>
  <c r="AG5" i="3"/>
  <c r="D4" i="24" s="1"/>
  <c r="AF6" i="3"/>
  <c r="C6" i="24" s="1"/>
  <c r="AG6" i="3"/>
  <c r="D6" i="24" s="1"/>
  <c r="AG2" i="3"/>
  <c r="D8" i="24" s="1"/>
  <c r="AF2" i="3"/>
  <c r="C8" i="24" s="1"/>
  <c r="Z2" i="3"/>
  <c r="AD13" i="3"/>
  <c r="C13" i="23" s="1"/>
  <c r="AE11" i="3"/>
  <c r="D14" i="23" s="1"/>
  <c r="AD10" i="3"/>
  <c r="C12" i="23" s="1"/>
  <c r="AC4" i="3"/>
  <c r="D17" i="22" s="1"/>
  <c r="F25" i="22" s="1"/>
  <c r="L26" i="22" s="1"/>
  <c r="AD7" i="3"/>
  <c r="C7" i="23" s="1"/>
  <c r="AC3" i="3"/>
  <c r="D16" i="22" s="1"/>
  <c r="E25" i="22" s="1"/>
  <c r="L25" i="22" s="1"/>
  <c r="AD5" i="3"/>
  <c r="C8" i="23" s="1"/>
  <c r="AC2" i="3"/>
  <c r="D15" i="22" s="1"/>
  <c r="D25" i="22" s="1"/>
  <c r="L24" i="22" s="1"/>
  <c r="C15" i="22"/>
  <c r="D24" i="22" s="1"/>
  <c r="K24" i="22" s="1"/>
  <c r="AD12" i="3"/>
  <c r="C15" i="23" s="1"/>
  <c r="AE12" i="3"/>
  <c r="D15" i="23" s="1"/>
  <c r="AE13" i="3"/>
  <c r="D13" i="23" s="1"/>
  <c r="AD11" i="3"/>
  <c r="C14" i="23" s="1"/>
  <c r="AD9" i="3"/>
  <c r="C11" i="23" s="1"/>
  <c r="AE9" i="3"/>
  <c r="D11" i="23" s="1"/>
  <c r="AE10" i="3"/>
  <c r="D12" i="23" s="1"/>
  <c r="AD8" i="3"/>
  <c r="C10" i="23" s="1"/>
  <c r="AD6" i="3"/>
  <c r="C9" i="23" s="1"/>
  <c r="AE6" i="3"/>
  <c r="D9" i="23" s="1"/>
  <c r="AE7" i="3"/>
  <c r="D7" i="23" s="1"/>
  <c r="AD3" i="3"/>
  <c r="C5" i="23" s="1"/>
  <c r="AE3" i="3"/>
  <c r="D5" i="23" s="1"/>
  <c r="AD4" i="3"/>
  <c r="C4" i="23" s="1"/>
  <c r="AE4" i="3"/>
  <c r="D4" i="23" s="1"/>
  <c r="AE2" i="3"/>
  <c r="D6" i="23" s="1"/>
  <c r="AD2" i="3"/>
  <c r="C6" i="23" s="1"/>
  <c r="AC5" i="3"/>
  <c r="D18" i="22" s="1"/>
  <c r="G25" i="22" s="1"/>
  <c r="L27" i="22" s="1"/>
  <c r="AB5" i="3"/>
  <c r="C18" i="22" s="1"/>
  <c r="G24" i="22" s="1"/>
  <c r="K27" i="22" s="1"/>
  <c r="AB4" i="3"/>
  <c r="C17" i="22" s="1"/>
  <c r="F24" i="22" s="1"/>
  <c r="K26" i="22" s="1"/>
  <c r="X2" i="3"/>
  <c r="A21" i="19" a="1"/>
  <c r="B21" i="19" s="1"/>
  <c r="C2" i="20"/>
  <c r="D4" i="20" l="1"/>
  <c r="C4" i="20"/>
  <c r="AK31" i="24"/>
  <c r="AJ31" i="24"/>
  <c r="AE31" i="24"/>
  <c r="Y31" i="24"/>
  <c r="V31" i="24"/>
  <c r="R30" i="24"/>
  <c r="AH31" i="24"/>
  <c r="AJ30" i="24"/>
  <c r="AG31" i="24"/>
  <c r="AI31" i="24"/>
  <c r="X31" i="24"/>
  <c r="AC31" i="24"/>
  <c r="AF31" i="24"/>
  <c r="S31" i="24"/>
  <c r="AB31" i="24"/>
  <c r="W31" i="24"/>
  <c r="Z31" i="24"/>
  <c r="U31" i="24"/>
  <c r="T31" i="24"/>
  <c r="V8" i="24"/>
  <c r="S8" i="24"/>
  <c r="U8" i="24"/>
  <c r="AF8" i="24"/>
  <c r="AB8" i="24"/>
  <c r="AE8" i="24"/>
  <c r="AI8" i="24"/>
  <c r="AD8" i="24"/>
  <c r="Z8" i="24"/>
  <c r="AH8" i="24"/>
  <c r="R8" i="24"/>
  <c r="AC8" i="24"/>
  <c r="Y8" i="24"/>
  <c r="X8" i="24"/>
  <c r="AK8" i="24"/>
  <c r="AG8" i="24"/>
  <c r="AA8" i="24"/>
  <c r="W8" i="24"/>
  <c r="T8" i="24"/>
  <c r="AJ8" i="24"/>
  <c r="AD31" i="24"/>
  <c r="X12" i="24"/>
  <c r="AA12" i="24"/>
  <c r="V12" i="24"/>
  <c r="W12" i="24"/>
  <c r="Y12" i="24"/>
  <c r="V16" i="24"/>
  <c r="AI16" i="24"/>
  <c r="Z12" i="24"/>
  <c r="T12" i="24"/>
  <c r="AE12" i="24"/>
  <c r="AH16" i="24"/>
  <c r="R12" i="24"/>
  <c r="AI12" i="24"/>
  <c r="AF12" i="24"/>
  <c r="AC16" i="24"/>
  <c r="AD12" i="24"/>
  <c r="AD16" i="24"/>
  <c r="AB16" i="24"/>
  <c r="AB12" i="24"/>
  <c r="AH12" i="24"/>
  <c r="U12" i="24"/>
  <c r="R16" i="24"/>
  <c r="X16" i="24"/>
  <c r="AH19" i="24"/>
  <c r="AK16" i="24"/>
  <c r="AF16" i="24"/>
  <c r="Z16" i="24"/>
  <c r="AK12" i="24"/>
  <c r="AG12" i="24"/>
  <c r="S16" i="24"/>
  <c r="V7" i="24"/>
  <c r="AA16" i="24"/>
  <c r="AJ12" i="24"/>
  <c r="AC12" i="24"/>
  <c r="S12" i="24"/>
  <c r="Y16" i="24"/>
  <c r="AE16" i="24"/>
  <c r="U16" i="24"/>
  <c r="AG16" i="24"/>
  <c r="W16" i="24"/>
  <c r="T16" i="24"/>
  <c r="AK11" i="24"/>
  <c r="AJ16" i="24"/>
  <c r="AH18" i="24"/>
  <c r="S11" i="24"/>
  <c r="Y6" i="24"/>
  <c r="AI7" i="24"/>
  <c r="V9" i="24"/>
  <c r="AB7" i="24"/>
  <c r="W11" i="24"/>
  <c r="AD15" i="24"/>
  <c r="AH22" i="24"/>
  <c r="AK21" i="24"/>
  <c r="AI30" i="24"/>
  <c r="AE21" i="24"/>
  <c r="AI21" i="24"/>
  <c r="AI4" i="24"/>
  <c r="R4" i="24"/>
  <c r="T30" i="24"/>
  <c r="AF6" i="24"/>
  <c r="R6" i="24"/>
  <c r="AB6" i="24"/>
  <c r="AI6" i="24"/>
  <c r="AF17" i="24"/>
  <c r="AF20" i="24"/>
  <c r="AF4" i="24"/>
  <c r="AB5" i="24"/>
  <c r="V6" i="24"/>
  <c r="AF7" i="24"/>
  <c r="AK9" i="24"/>
  <c r="AH9" i="24"/>
  <c r="R9" i="24"/>
  <c r="AD9" i="24"/>
  <c r="AJ10" i="24"/>
  <c r="W14" i="24"/>
  <c r="AE30" i="24"/>
  <c r="AE17" i="24"/>
  <c r="AI17" i="24"/>
  <c r="AH30" i="24"/>
  <c r="AE20" i="24"/>
  <c r="AI20" i="24"/>
  <c r="AH21" i="24"/>
  <c r="AF22" i="24"/>
  <c r="R31" i="24"/>
  <c r="V4" i="24"/>
  <c r="S30" i="24"/>
  <c r="AI5" i="24"/>
  <c r="V5" i="24"/>
  <c r="AF5" i="24"/>
  <c r="R5" i="24"/>
  <c r="AK15" i="24"/>
  <c r="AJ15" i="24"/>
  <c r="AK18" i="24"/>
  <c r="AE18" i="24"/>
  <c r="AI18" i="24"/>
  <c r="AF30" i="24"/>
  <c r="AF19" i="24"/>
  <c r="AF23" i="24"/>
  <c r="R7" i="24"/>
  <c r="AK22" i="24"/>
  <c r="AE22" i="24"/>
  <c r="AI22" i="24"/>
  <c r="AB4" i="24"/>
  <c r="Y5" i="24"/>
  <c r="Z9" i="24"/>
  <c r="S14" i="24"/>
  <c r="AC15" i="24"/>
  <c r="AH17" i="24"/>
  <c r="AF18" i="24"/>
  <c r="AK19" i="24"/>
  <c r="AE19" i="24"/>
  <c r="AI19" i="24"/>
  <c r="AH20" i="24"/>
  <c r="AF21" i="24"/>
  <c r="AK23" i="24"/>
  <c r="AE23" i="24"/>
  <c r="AI23" i="24"/>
  <c r="AH23" i="24"/>
  <c r="AC30" i="24"/>
  <c r="Y7" i="24"/>
  <c r="AH11" i="24"/>
  <c r="AK13" i="24"/>
  <c r="AH14" i="24"/>
  <c r="Y4" i="24"/>
  <c r="AJ13" i="24"/>
  <c r="AK14" i="24"/>
  <c r="AB30" i="24"/>
  <c r="T10" i="24"/>
  <c r="AC10" i="24"/>
  <c r="AG10" i="24"/>
  <c r="AD13" i="24"/>
  <c r="AH13" i="24"/>
  <c r="X18" i="24"/>
  <c r="X19" i="24"/>
  <c r="X20" i="24"/>
  <c r="X22" i="24"/>
  <c r="X23" i="24"/>
  <c r="S5" i="24"/>
  <c r="Z5" i="24"/>
  <c r="AC5" i="24"/>
  <c r="AJ5" i="24"/>
  <c r="S6" i="24"/>
  <c r="U30" i="24"/>
  <c r="U23" i="24"/>
  <c r="U22" i="24"/>
  <c r="U21" i="24"/>
  <c r="U20" i="24"/>
  <c r="U19" i="24"/>
  <c r="U18" i="24"/>
  <c r="U17" i="24"/>
  <c r="AC7" i="24"/>
  <c r="V23" i="24"/>
  <c r="V22" i="24"/>
  <c r="V21" i="24"/>
  <c r="V20" i="24"/>
  <c r="V19" i="24"/>
  <c r="V18" i="24"/>
  <c r="V17" i="24"/>
  <c r="Z10" i="24"/>
  <c r="AD10" i="24"/>
  <c r="AH10" i="24"/>
  <c r="T11" i="24"/>
  <c r="AC11" i="24"/>
  <c r="AE13" i="24"/>
  <c r="T14" i="24"/>
  <c r="AC14" i="24"/>
  <c r="S15" i="24"/>
  <c r="W15" i="24"/>
  <c r="Y17" i="24"/>
  <c r="Y18" i="24"/>
  <c r="Y19" i="24"/>
  <c r="Y21" i="24"/>
  <c r="Y22" i="24"/>
  <c r="Y23" i="24"/>
  <c r="AA31" i="24"/>
  <c r="T4" i="24"/>
  <c r="W4" i="24"/>
  <c r="AA4" i="24"/>
  <c r="AD4" i="24"/>
  <c r="AG4" i="24"/>
  <c r="AK4" i="24"/>
  <c r="T5" i="24"/>
  <c r="S29" i="24" s="1"/>
  <c r="W5" i="24"/>
  <c r="AA5" i="24"/>
  <c r="AD5" i="24"/>
  <c r="AG5" i="24"/>
  <c r="AK5" i="24"/>
  <c r="T6" i="24"/>
  <c r="W6" i="24"/>
  <c r="AA6" i="24"/>
  <c r="AD6" i="24"/>
  <c r="AG6" i="24"/>
  <c r="AK6" i="24"/>
  <c r="T7" i="24"/>
  <c r="W7" i="24"/>
  <c r="AA7" i="24"/>
  <c r="AD7" i="24"/>
  <c r="AG7" i="24"/>
  <c r="AK7" i="24"/>
  <c r="T9" i="24"/>
  <c r="W9" i="24"/>
  <c r="AA10" i="24"/>
  <c r="AE10" i="24"/>
  <c r="U11" i="24"/>
  <c r="Z11" i="24"/>
  <c r="AD11" i="24"/>
  <c r="Z30" i="24"/>
  <c r="S13" i="24"/>
  <c r="W13" i="24"/>
  <c r="U14" i="24"/>
  <c r="Z14" i="24"/>
  <c r="AD14" i="24"/>
  <c r="AI15" i="24"/>
  <c r="AF15" i="24"/>
  <c r="AB15" i="24"/>
  <c r="Y15" i="24"/>
  <c r="V15" i="24"/>
  <c r="R15" i="24"/>
  <c r="AH15" i="24"/>
  <c r="AE15" i="24"/>
  <c r="X15" i="24"/>
  <c r="T15" i="24"/>
  <c r="Z15" i="24"/>
  <c r="AD30" i="24"/>
  <c r="V30" i="24"/>
  <c r="X30" i="24"/>
  <c r="AI10" i="24"/>
  <c r="AF10" i="24"/>
  <c r="AB10" i="24"/>
  <c r="Y10" i="24"/>
  <c r="V10" i="24"/>
  <c r="R10" i="24"/>
  <c r="X10" i="24"/>
  <c r="U13" i="24"/>
  <c r="Z13" i="24"/>
  <c r="X17" i="24"/>
  <c r="X21" i="24"/>
  <c r="S4" i="24"/>
  <c r="Z4" i="24"/>
  <c r="AC4" i="24"/>
  <c r="AJ4" i="24"/>
  <c r="Z6" i="24"/>
  <c r="AC6" i="24"/>
  <c r="AJ6" i="24"/>
  <c r="S7" i="24"/>
  <c r="Z7" i="24"/>
  <c r="AJ7" i="24"/>
  <c r="W30" i="24"/>
  <c r="AI9" i="24"/>
  <c r="AF9" i="24"/>
  <c r="AB9" i="24"/>
  <c r="Y9" i="24"/>
  <c r="S9" i="24"/>
  <c r="AA9" i="24"/>
  <c r="AE9" i="24"/>
  <c r="AJ9" i="24"/>
  <c r="U10" i="24"/>
  <c r="AI11" i="24"/>
  <c r="AF11" i="24"/>
  <c r="AB11" i="24"/>
  <c r="Y11" i="24"/>
  <c r="V11" i="24"/>
  <c r="R11" i="24"/>
  <c r="Y30" i="24"/>
  <c r="X11" i="24"/>
  <c r="AG11" i="24"/>
  <c r="AA13" i="24"/>
  <c r="AB23" i="24"/>
  <c r="AB22" i="24"/>
  <c r="AB21" i="24"/>
  <c r="AB20" i="24"/>
  <c r="AB19" i="24"/>
  <c r="AB18" i="24"/>
  <c r="AB17" i="24"/>
  <c r="AI14" i="24"/>
  <c r="AF14" i="24"/>
  <c r="AB14" i="24"/>
  <c r="Y14" i="24"/>
  <c r="V14" i="24"/>
  <c r="R14" i="24"/>
  <c r="X14" i="24"/>
  <c r="AG14" i="24"/>
  <c r="Y20" i="24"/>
  <c r="U4" i="24"/>
  <c r="X4" i="24"/>
  <c r="AE4" i="24"/>
  <c r="AH4" i="24"/>
  <c r="U5" i="24"/>
  <c r="X5" i="24"/>
  <c r="AE5" i="24"/>
  <c r="AH5" i="24"/>
  <c r="U6" i="24"/>
  <c r="X6" i="24"/>
  <c r="V29" i="24" s="1"/>
  <c r="AE6" i="24"/>
  <c r="AH6" i="24"/>
  <c r="U7" i="24"/>
  <c r="X7" i="24"/>
  <c r="AE7" i="24"/>
  <c r="AH7" i="24"/>
  <c r="U9" i="24"/>
  <c r="X9" i="24"/>
  <c r="AC9" i="24"/>
  <c r="AG9" i="24"/>
  <c r="S10" i="24"/>
  <c r="W10" i="24"/>
  <c r="AK10" i="24"/>
  <c r="AA11" i="24"/>
  <c r="AE11" i="24"/>
  <c r="AJ11" i="24"/>
  <c r="AA30" i="24"/>
  <c r="AI13" i="24"/>
  <c r="AF13" i="24"/>
  <c r="AB13" i="24"/>
  <c r="Y13" i="24"/>
  <c r="V13" i="24"/>
  <c r="R13" i="24"/>
  <c r="T13" i="24"/>
  <c r="X13" i="24"/>
  <c r="AC13" i="24"/>
  <c r="AG13" i="24"/>
  <c r="AA14" i="24"/>
  <c r="AE14" i="24"/>
  <c r="AJ14" i="24"/>
  <c r="U15" i="24"/>
  <c r="AA15" i="24"/>
  <c r="AG15" i="24"/>
  <c r="R17" i="24"/>
  <c r="R18" i="24"/>
  <c r="R19" i="24"/>
  <c r="R20" i="24"/>
  <c r="R21" i="24"/>
  <c r="R22" i="24"/>
  <c r="R23" i="24"/>
  <c r="S17" i="24"/>
  <c r="Z17" i="24"/>
  <c r="AC17" i="24"/>
  <c r="AJ17" i="24"/>
  <c r="S18" i="24"/>
  <c r="Z18" i="24"/>
  <c r="AC18" i="24"/>
  <c r="AJ18" i="24"/>
  <c r="S19" i="24"/>
  <c r="Z19" i="24"/>
  <c r="AC19" i="24"/>
  <c r="AJ19" i="24"/>
  <c r="S20" i="24"/>
  <c r="Z20" i="24"/>
  <c r="AC20" i="24"/>
  <c r="AJ20" i="24"/>
  <c r="S21" i="24"/>
  <c r="Z21" i="24"/>
  <c r="AC21" i="24"/>
  <c r="AJ21" i="24"/>
  <c r="S22" i="24"/>
  <c r="Z22" i="24"/>
  <c r="AC22" i="24"/>
  <c r="AJ22" i="24"/>
  <c r="S23" i="24"/>
  <c r="Z23" i="24"/>
  <c r="AC23" i="24"/>
  <c r="AJ23" i="24"/>
  <c r="AG30" i="24"/>
  <c r="AK30" i="24"/>
  <c r="T17" i="24"/>
  <c r="W17" i="24"/>
  <c r="AA17" i="24"/>
  <c r="AD17" i="24"/>
  <c r="AG17" i="24"/>
  <c r="AK17" i="24"/>
  <c r="T18" i="24"/>
  <c r="W18" i="24"/>
  <c r="AA18" i="24"/>
  <c r="AD18" i="24"/>
  <c r="AG18" i="24"/>
  <c r="T19" i="24"/>
  <c r="W19" i="24"/>
  <c r="AA19" i="24"/>
  <c r="AD19" i="24"/>
  <c r="AG19" i="24"/>
  <c r="T20" i="24"/>
  <c r="W20" i="24"/>
  <c r="AA20" i="24"/>
  <c r="AD20" i="24"/>
  <c r="AG20" i="24"/>
  <c r="AK20" i="24"/>
  <c r="T21" i="24"/>
  <c r="W21" i="24"/>
  <c r="AA21" i="24"/>
  <c r="AD21" i="24"/>
  <c r="AG21" i="24"/>
  <c r="T22" i="24"/>
  <c r="W22" i="24"/>
  <c r="AA22" i="24"/>
  <c r="AD22" i="24"/>
  <c r="AG22" i="24"/>
  <c r="T23" i="24"/>
  <c r="W23" i="24"/>
  <c r="AA23" i="24"/>
  <c r="AD23" i="24"/>
  <c r="AG23" i="24"/>
  <c r="AB3" i="3"/>
  <c r="C16" i="22" s="1"/>
  <c r="G5" i="22" s="1"/>
  <c r="AE5" i="3"/>
  <c r="D8" i="23" s="1"/>
  <c r="AE8" i="3"/>
  <c r="D10" i="23" s="1"/>
  <c r="G4" i="22"/>
  <c r="G6" i="22"/>
  <c r="F23" i="22" s="1"/>
  <c r="F7" i="22"/>
  <c r="F6" i="22"/>
  <c r="G7" i="22"/>
  <c r="D7" i="22"/>
  <c r="F4" i="22"/>
  <c r="D4" i="22"/>
  <c r="D6" i="22"/>
  <c r="B24" i="19"/>
  <c r="B22" i="19"/>
  <c r="A24" i="19"/>
  <c r="A22" i="19"/>
  <c r="A25" i="19"/>
  <c r="A23" i="19"/>
  <c r="A21" i="19"/>
  <c r="A20" i="19" s="1"/>
  <c r="B25" i="19"/>
  <c r="B23" i="19"/>
  <c r="I7" i="25" l="1"/>
  <c r="I9" i="25"/>
  <c r="AH29" i="24"/>
  <c r="AF29" i="24"/>
  <c r="AA29" i="24"/>
  <c r="U29" i="24"/>
  <c r="E5" i="22"/>
  <c r="D5" i="22"/>
  <c r="E7" i="22"/>
  <c r="F5" i="22"/>
  <c r="E23" i="22" s="1"/>
  <c r="E6" i="22"/>
  <c r="E24" i="22"/>
  <c r="K25" i="22" s="1"/>
  <c r="E4" i="22"/>
  <c r="D23" i="22" s="1"/>
  <c r="R29" i="24"/>
  <c r="T29" i="24"/>
  <c r="AC29" i="24"/>
  <c r="Z29" i="24"/>
  <c r="AG29" i="24"/>
  <c r="AJ29" i="24"/>
  <c r="AB29" i="24"/>
  <c r="X29" i="24"/>
  <c r="AE29" i="24"/>
  <c r="W29" i="24"/>
  <c r="Y29" i="24"/>
  <c r="AD29" i="24"/>
  <c r="AI29" i="24"/>
  <c r="P14" i="1" l="1"/>
  <c r="K13" i="25"/>
  <c r="I15" i="25" s="1"/>
  <c r="I11" i="25"/>
  <c r="P15" i="1" s="1"/>
  <c r="P45" i="4" s="1"/>
  <c r="L50" i="4" s="1"/>
  <c r="C8" i="20" l="1"/>
  <c r="I16" i="25"/>
  <c r="P17" i="1" s="1"/>
  <c r="C13" i="20" s="1"/>
  <c r="P23" i="1" s="1"/>
  <c r="J16" i="25"/>
  <c r="E34" i="4"/>
  <c r="D73" i="4" s="1"/>
  <c r="D6" i="4" l="1"/>
  <c r="C6" i="4"/>
  <c r="D5" i="4"/>
  <c r="C5" i="4"/>
  <c r="D4" i="4"/>
  <c r="C4" i="4"/>
  <c r="C42" i="4"/>
  <c r="V7" i="4" l="1"/>
  <c r="E2" i="2"/>
  <c r="U7" i="4"/>
  <c r="C11" i="4"/>
  <c r="B33" i="4"/>
  <c r="G32" i="4"/>
  <c r="C44" i="4"/>
  <c r="AC3" i="2" s="1"/>
  <c r="F32" i="4"/>
  <c r="E71" i="4" s="1"/>
  <c r="B44" i="4"/>
  <c r="AB3" i="2" s="1"/>
  <c r="F33" i="4"/>
  <c r="E72" i="4" s="1"/>
  <c r="B43" i="4"/>
  <c r="F31" i="4"/>
  <c r="E70" i="4" s="1"/>
  <c r="B45" i="4"/>
  <c r="D3" i="2" s="1"/>
  <c r="G33" i="4"/>
  <c r="C43" i="4"/>
  <c r="G31" i="4"/>
  <c r="I32" i="4" s="1"/>
  <c r="C45" i="4"/>
  <c r="E3" i="2" s="1"/>
  <c r="D7" i="4"/>
  <c r="C46" i="4" s="1"/>
  <c r="G30" i="4"/>
  <c r="C7" i="4"/>
  <c r="B46" i="4" s="1"/>
  <c r="F30" i="4"/>
  <c r="E69" i="4" s="1"/>
  <c r="V8" i="4" l="1"/>
  <c r="AC2" i="2"/>
  <c r="U8" i="4"/>
  <c r="AB2" i="2"/>
  <c r="C12" i="41"/>
  <c r="B31" i="21"/>
  <c r="D12" i="41"/>
  <c r="C21" i="41" s="1"/>
  <c r="C31" i="21"/>
  <c r="C20" i="41"/>
  <c r="H32" i="4"/>
  <c r="H33" i="4"/>
  <c r="I33" i="4"/>
  <c r="H31" i="4"/>
  <c r="F34" i="4"/>
  <c r="E73" i="4" s="1"/>
  <c r="G34" i="4"/>
  <c r="H34" i="4" s="1"/>
  <c r="I31" i="4"/>
  <c r="C4" i="41" l="1"/>
  <c r="E3" i="41"/>
  <c r="D3" i="41"/>
  <c r="C3" i="41"/>
  <c r="C5" i="41"/>
  <c r="C19" i="41"/>
  <c r="C15" i="41"/>
  <c r="B48" i="21"/>
  <c r="D15" i="41"/>
  <c r="F21" i="41" s="1"/>
  <c r="C48" i="21"/>
  <c r="I34" i="4"/>
  <c r="H36" i="4" s="1"/>
  <c r="H37" i="4" s="1"/>
  <c r="M41" i="4" s="1"/>
  <c r="M42" i="4" s="1"/>
  <c r="L44" i="4" s="1"/>
  <c r="L46" i="4" s="1"/>
  <c r="E18" i="19"/>
  <c r="F20" i="41" l="1"/>
  <c r="F6" i="41"/>
  <c r="D6" i="41"/>
  <c r="F4" i="41"/>
  <c r="C6" i="41"/>
  <c r="F3" i="41"/>
  <c r="F5" i="41"/>
  <c r="E19" i="41" s="1"/>
  <c r="E23" i="41" s="1"/>
  <c r="E6" i="41"/>
  <c r="D17" i="19"/>
  <c r="C33" i="4" l="1"/>
  <c r="B72" i="4" s="1"/>
  <c r="A72" i="4"/>
  <c r="C26" i="4"/>
  <c r="B65" i="4" s="1"/>
  <c r="B26" i="4"/>
  <c r="A65" i="4" s="1"/>
  <c r="C25" i="4"/>
  <c r="B64" i="4" s="1"/>
  <c r="A64" i="4"/>
  <c r="C12" i="4"/>
  <c r="B51" i="4" s="1"/>
  <c r="B50" i="4"/>
  <c r="E5" i="4" a="1"/>
  <c r="F5" i="4" s="1"/>
  <c r="E44" i="4" s="1"/>
  <c r="E3" i="4" a="1"/>
  <c r="F3" i="4" s="1"/>
  <c r="E42" i="4" s="1"/>
  <c r="E11" i="4" l="1"/>
  <c r="F18" i="19"/>
  <c r="Q18" i="19"/>
  <c r="G18" i="19"/>
  <c r="H18" i="19"/>
  <c r="K18" i="19"/>
  <c r="J18" i="19"/>
  <c r="L18" i="19"/>
  <c r="I18" i="19"/>
  <c r="N18" i="19"/>
  <c r="P18" i="19"/>
  <c r="M18" i="19"/>
  <c r="O18" i="19"/>
  <c r="J19" i="19"/>
  <c r="N19" i="19"/>
  <c r="F19" i="19"/>
  <c r="G19" i="19"/>
  <c r="K19" i="19"/>
  <c r="O19" i="19"/>
  <c r="H19" i="19"/>
  <c r="L19" i="19"/>
  <c r="P19" i="19"/>
  <c r="I19" i="19"/>
  <c r="M19" i="19"/>
  <c r="Q19" i="19"/>
  <c r="E5" i="4"/>
  <c r="D44" i="4" s="1"/>
  <c r="E3" i="4"/>
  <c r="D42" i="4" s="1"/>
  <c r="B3" i="18"/>
  <c r="D143" i="3"/>
  <c r="D144" i="3"/>
  <c r="D147" i="3"/>
  <c r="E147" i="3"/>
  <c r="D149" i="3"/>
  <c r="D150" i="3"/>
  <c r="D151" i="3"/>
  <c r="E151" i="3"/>
  <c r="D152" i="3"/>
  <c r="E153" i="3"/>
  <c r="D154" i="3"/>
  <c r="D155" i="3"/>
  <c r="D156" i="3"/>
  <c r="E157" i="3"/>
  <c r="D158" i="3"/>
  <c r="D160" i="3"/>
  <c r="D161" i="3"/>
  <c r="E161" i="3"/>
  <c r="D162" i="3"/>
  <c r="D163" i="3"/>
  <c r="E163" i="3"/>
  <c r="D164" i="3"/>
  <c r="D165" i="3"/>
  <c r="D166" i="3"/>
  <c r="D167" i="3"/>
  <c r="E167" i="3"/>
  <c r="D168" i="3"/>
  <c r="D170" i="3"/>
  <c r="E171" i="3"/>
  <c r="D172" i="3"/>
  <c r="D173" i="3"/>
  <c r="E173" i="3"/>
  <c r="D174" i="3"/>
  <c r="D176" i="3"/>
  <c r="D177" i="3"/>
  <c r="E177" i="3"/>
  <c r="D178" i="3"/>
  <c r="D180" i="3"/>
  <c r="D181" i="3"/>
  <c r="D182" i="3"/>
  <c r="D183" i="3"/>
  <c r="E183" i="3"/>
  <c r="D184" i="3"/>
  <c r="D185" i="3"/>
  <c r="D186" i="3"/>
  <c r="D188" i="3"/>
  <c r="D189" i="3"/>
  <c r="E189" i="3"/>
  <c r="D190" i="3"/>
  <c r="E191" i="3"/>
  <c r="D192" i="3"/>
  <c r="D194" i="3"/>
  <c r="D195" i="3"/>
  <c r="E195" i="3"/>
  <c r="D196" i="3"/>
  <c r="E197" i="3"/>
  <c r="D198" i="3"/>
  <c r="D200" i="3"/>
  <c r="D201" i="3"/>
  <c r="E201" i="3"/>
  <c r="D202" i="3"/>
  <c r="D203" i="3"/>
  <c r="D204" i="3"/>
  <c r="D205" i="3"/>
  <c r="E205" i="3"/>
  <c r="D206" i="3"/>
  <c r="E207" i="3"/>
  <c r="D208" i="3"/>
  <c r="D209" i="3"/>
  <c r="D210" i="3"/>
  <c r="D211" i="3"/>
  <c r="E211" i="3"/>
  <c r="E142" i="3"/>
  <c r="D142" i="3"/>
  <c r="F63" i="3"/>
  <c r="F64" i="3"/>
  <c r="E74" i="3"/>
  <c r="D76" i="3"/>
  <c r="F67" i="3"/>
  <c r="F68" i="3"/>
  <c r="G68" i="3"/>
  <c r="F70" i="3"/>
  <c r="D81" i="3"/>
  <c r="D82" i="3"/>
  <c r="D84" i="3"/>
  <c r="F76" i="3"/>
  <c r="G76" i="3"/>
  <c r="D87" i="3"/>
  <c r="F78" i="3"/>
  <c r="G78" i="3"/>
  <c r="F80" i="3"/>
  <c r="F81" i="3"/>
  <c r="F82" i="3"/>
  <c r="G82" i="3"/>
  <c r="F85" i="3"/>
  <c r="F86" i="3"/>
  <c r="G86" i="3"/>
  <c r="D98" i="3"/>
  <c r="E98" i="3"/>
  <c r="D99" i="3"/>
  <c r="F90" i="3"/>
  <c r="E100" i="3"/>
  <c r="D102" i="3"/>
  <c r="D103" i="3"/>
  <c r="F94" i="3"/>
  <c r="D106" i="3"/>
  <c r="E106" i="3"/>
  <c r="D107" i="3"/>
  <c r="F98" i="3"/>
  <c r="G98" i="3"/>
  <c r="F100" i="3"/>
  <c r="F101" i="3"/>
  <c r="F102" i="3"/>
  <c r="D113" i="3"/>
  <c r="D114" i="3"/>
  <c r="E114" i="3"/>
  <c r="F106" i="3"/>
  <c r="F108" i="3"/>
  <c r="D120" i="3"/>
  <c r="E120" i="3"/>
  <c r="F111" i="3"/>
  <c r="F112" i="3"/>
  <c r="G112" i="3"/>
  <c r="D123" i="3"/>
  <c r="F114" i="3"/>
  <c r="F116" i="3"/>
  <c r="D127" i="3"/>
  <c r="F118" i="3"/>
  <c r="E128" i="3"/>
  <c r="D130" i="3"/>
  <c r="F121" i="3"/>
  <c r="D132" i="3"/>
  <c r="D133" i="3"/>
  <c r="D135" i="3"/>
  <c r="D136" i="3"/>
  <c r="E136" i="3"/>
  <c r="D138" i="3"/>
  <c r="E138" i="3"/>
  <c r="D139" i="3"/>
  <c r="D140" i="3"/>
  <c r="D141" i="3"/>
  <c r="E72" i="3"/>
  <c r="E143" i="3"/>
  <c r="E145" i="3"/>
  <c r="E146" i="3"/>
  <c r="E148" i="3"/>
  <c r="E149" i="3"/>
  <c r="E154" i="3"/>
  <c r="E155" i="3"/>
  <c r="E158" i="3"/>
  <c r="E159" i="3"/>
  <c r="E160" i="3"/>
  <c r="E164" i="3"/>
  <c r="E165" i="3"/>
  <c r="E168" i="3"/>
  <c r="E169" i="3"/>
  <c r="E170" i="3"/>
  <c r="E175" i="3"/>
  <c r="E176" i="3"/>
  <c r="E178" i="3"/>
  <c r="E179" i="3"/>
  <c r="E181" i="3"/>
  <c r="E184" i="3"/>
  <c r="E185" i="3"/>
  <c r="E187" i="3"/>
  <c r="E192" i="3"/>
  <c r="E193" i="3"/>
  <c r="E199" i="3"/>
  <c r="E200" i="3"/>
  <c r="E202" i="3"/>
  <c r="E203" i="3"/>
  <c r="E204" i="3"/>
  <c r="E208" i="3"/>
  <c r="E209" i="3"/>
  <c r="G63" i="3"/>
  <c r="F65" i="3"/>
  <c r="E75" i="3"/>
  <c r="E77" i="3"/>
  <c r="F69" i="3"/>
  <c r="E79" i="3"/>
  <c r="E81" i="3"/>
  <c r="D83" i="3"/>
  <c r="E83" i="3"/>
  <c r="G75" i="3"/>
  <c r="E87" i="3"/>
  <c r="F79" i="3"/>
  <c r="E89" i="3"/>
  <c r="E91" i="3"/>
  <c r="D93" i="3"/>
  <c r="E93" i="3"/>
  <c r="G85" i="3"/>
  <c r="F87" i="3"/>
  <c r="G87" i="3"/>
  <c r="E99" i="3"/>
  <c r="F91" i="3"/>
  <c r="G91" i="3"/>
  <c r="E103" i="3"/>
  <c r="F95" i="3"/>
  <c r="E105" i="3"/>
  <c r="G97" i="3"/>
  <c r="F99" i="3"/>
  <c r="G99" i="3"/>
  <c r="G101" i="3"/>
  <c r="F105" i="3"/>
  <c r="G105" i="3"/>
  <c r="E117" i="3"/>
  <c r="D119" i="3"/>
  <c r="G109" i="3"/>
  <c r="G111" i="3"/>
  <c r="G113" i="3"/>
  <c r="D125" i="3"/>
  <c r="E127" i="3"/>
  <c r="E129" i="3"/>
  <c r="G121" i="3"/>
  <c r="E133" i="3"/>
  <c r="E135" i="3"/>
  <c r="D137" i="3"/>
  <c r="E137" i="3"/>
  <c r="E139" i="3"/>
  <c r="E141" i="3"/>
  <c r="D145" i="3"/>
  <c r="D146" i="3"/>
  <c r="E152" i="3"/>
  <c r="D153" i="3"/>
  <c r="D157" i="3"/>
  <c r="D169" i="3"/>
  <c r="D171" i="3"/>
  <c r="E172" i="3"/>
  <c r="D175" i="3"/>
  <c r="D179" i="3"/>
  <c r="E180" i="3"/>
  <c r="E186" i="3"/>
  <c r="D187" i="3"/>
  <c r="E188" i="3"/>
  <c r="D193" i="3"/>
  <c r="E194" i="3"/>
  <c r="E196" i="3"/>
  <c r="D197" i="3"/>
  <c r="D199" i="3"/>
  <c r="D207" i="3"/>
  <c r="E210" i="3"/>
  <c r="G70" i="3"/>
  <c r="E84" i="3"/>
  <c r="G80" i="3"/>
  <c r="E94" i="3"/>
  <c r="G92" i="3"/>
  <c r="G94" i="3"/>
  <c r="G100" i="3"/>
  <c r="G102" i="3"/>
  <c r="G106" i="3"/>
  <c r="G108" i="3"/>
  <c r="G116" i="3"/>
  <c r="F119" i="3"/>
  <c r="G120" i="3"/>
  <c r="E134" i="3"/>
  <c r="E140" i="3"/>
  <c r="F62" i="3"/>
  <c r="D148" i="3"/>
  <c r="D159" i="3"/>
  <c r="D191" i="3"/>
  <c r="F75" i="3"/>
  <c r="F84" i="3"/>
  <c r="G103" i="3"/>
  <c r="D117" i="3"/>
  <c r="G115" i="3"/>
  <c r="D134" i="3"/>
  <c r="E144" i="3"/>
  <c r="E150" i="3"/>
  <c r="E156" i="3"/>
  <c r="E162" i="3"/>
  <c r="E166" i="3"/>
  <c r="E174" i="3"/>
  <c r="E182" i="3"/>
  <c r="E190" i="3"/>
  <c r="E198" i="3"/>
  <c r="E206" i="3"/>
  <c r="E76" i="3"/>
  <c r="E82" i="3"/>
  <c r="G114" i="3"/>
  <c r="E132" i="3"/>
  <c r="C3" i="18"/>
  <c r="C9" i="18" l="1"/>
  <c r="B14" i="18"/>
  <c r="C10" i="18"/>
  <c r="C14" i="18"/>
  <c r="D50" i="4"/>
  <c r="C14" i="4"/>
  <c r="B53" i="4" s="1"/>
  <c r="G9" i="4"/>
  <c r="G10" i="4" s="1"/>
  <c r="X5" i="3"/>
  <c r="F71" i="3"/>
  <c r="E96" i="3"/>
  <c r="G118" i="3"/>
  <c r="D89" i="3"/>
  <c r="F97" i="3"/>
  <c r="D79" i="3"/>
  <c r="D101" i="3"/>
  <c r="F73" i="3"/>
  <c r="D111" i="3"/>
  <c r="F83" i="3"/>
  <c r="F72" i="3"/>
  <c r="E118" i="3"/>
  <c r="E78" i="3"/>
  <c r="D88" i="3"/>
  <c r="F66" i="3"/>
  <c r="F109" i="3"/>
  <c r="E86" i="3"/>
  <c r="G110" i="3"/>
  <c r="E104" i="3"/>
  <c r="E80" i="3"/>
  <c r="G64" i="3"/>
  <c r="E126" i="3"/>
  <c r="E88" i="3"/>
  <c r="G72" i="3"/>
  <c r="G84" i="3"/>
  <c r="G66" i="3"/>
  <c r="E110" i="3"/>
  <c r="G119" i="3"/>
  <c r="G96" i="3"/>
  <c r="E112" i="3"/>
  <c r="E102" i="3"/>
  <c r="G117" i="3"/>
  <c r="G89" i="3"/>
  <c r="G73" i="3"/>
  <c r="G71" i="3"/>
  <c r="D94" i="3"/>
  <c r="D78" i="3"/>
  <c r="D128" i="3"/>
  <c r="D116" i="3"/>
  <c r="D104" i="3"/>
  <c r="D72" i="3"/>
  <c r="D100" i="3"/>
  <c r="F110" i="3"/>
  <c r="F74" i="3"/>
  <c r="D110" i="3"/>
  <c r="D80" i="3"/>
  <c r="F96" i="3"/>
  <c r="F120" i="3"/>
  <c r="F92" i="3"/>
  <c r="D126" i="3"/>
  <c r="D112" i="3"/>
  <c r="D108" i="3"/>
  <c r="D96" i="3"/>
  <c r="D86" i="3"/>
  <c r="F104" i="3"/>
  <c r="D124" i="3"/>
  <c r="D118" i="3"/>
  <c r="D92" i="3"/>
  <c r="D115" i="3"/>
  <c r="F113" i="3"/>
  <c r="F103" i="3"/>
  <c r="F89" i="3"/>
  <c r="D121" i="3"/>
  <c r="F93" i="3"/>
  <c r="D75" i="3"/>
  <c r="F77" i="3"/>
  <c r="D131" i="3"/>
  <c r="D129" i="3"/>
  <c r="D109" i="3"/>
  <c r="D97" i="3"/>
  <c r="D91" i="3"/>
  <c r="D77" i="3"/>
  <c r="F115" i="3"/>
  <c r="F117" i="3"/>
  <c r="F107" i="3"/>
  <c r="D105" i="3"/>
  <c r="D95" i="3"/>
  <c r="D85" i="3"/>
  <c r="D73" i="3"/>
  <c r="G90" i="3"/>
  <c r="E130" i="3"/>
  <c r="E122" i="3"/>
  <c r="E90" i="3"/>
  <c r="G74" i="3"/>
  <c r="F88" i="3"/>
  <c r="E124" i="3"/>
  <c r="D122" i="3"/>
  <c r="E116" i="3"/>
  <c r="E108" i="3"/>
  <c r="E92" i="3"/>
  <c r="D90" i="3"/>
  <c r="D74" i="3"/>
  <c r="G104" i="3"/>
  <c r="G88" i="3"/>
  <c r="G107" i="3"/>
  <c r="G95" i="3"/>
  <c r="G93" i="3"/>
  <c r="G83" i="3"/>
  <c r="G81" i="3"/>
  <c r="G79" i="3"/>
  <c r="G77" i="3"/>
  <c r="G69" i="3"/>
  <c r="G67" i="3"/>
  <c r="G65" i="3"/>
  <c r="E131" i="3"/>
  <c r="E125" i="3"/>
  <c r="E123" i="3"/>
  <c r="E121" i="3"/>
  <c r="E119" i="3"/>
  <c r="E115" i="3"/>
  <c r="E113" i="3"/>
  <c r="E111" i="3"/>
  <c r="E109" i="3"/>
  <c r="E107" i="3"/>
  <c r="E101" i="3"/>
  <c r="E97" i="3"/>
  <c r="E95" i="3"/>
  <c r="E85" i="3"/>
  <c r="E73" i="3"/>
  <c r="G62" i="3"/>
  <c r="B18" i="4" l="1"/>
  <c r="A57" i="4" s="1"/>
  <c r="E18" i="4"/>
  <c r="D57" i="4" s="1"/>
  <c r="B28" i="4" l="1"/>
  <c r="A67" i="4" s="1"/>
  <c r="B27" i="4"/>
  <c r="A66" i="4" s="1"/>
  <c r="F18" i="4"/>
  <c r="E57" i="4" s="1"/>
  <c r="E19" i="4"/>
  <c r="C18" i="4"/>
  <c r="B57" i="4" s="1"/>
  <c r="B19" i="4"/>
  <c r="C19" i="4" s="1"/>
  <c r="C16" i="23"/>
  <c r="C19" i="22"/>
  <c r="C24" i="24"/>
  <c r="D24" i="24"/>
  <c r="AL31" i="24" s="1"/>
  <c r="D16" i="23"/>
  <c r="AD23" i="23" s="1"/>
  <c r="D19" i="22"/>
  <c r="H25" i="22" s="1"/>
  <c r="D3" i="24"/>
  <c r="Q31" i="24" s="1"/>
  <c r="D3" i="23"/>
  <c r="Q23" i="23" s="1"/>
  <c r="D14" i="22"/>
  <c r="C25" i="22" s="1"/>
  <c r="C2" i="18"/>
  <c r="B10" i="18" s="1"/>
  <c r="C37" i="4"/>
  <c r="B76" i="4" s="1"/>
  <c r="B4" i="18"/>
  <c r="D9" i="18" s="1"/>
  <c r="B38" i="4"/>
  <c r="A77" i="4" s="1"/>
  <c r="C4" i="18"/>
  <c r="D10" i="18" s="1"/>
  <c r="C38" i="4"/>
  <c r="B77" i="4" s="1"/>
  <c r="D3" i="6"/>
  <c r="Q27" i="6" s="1"/>
  <c r="C20" i="6"/>
  <c r="AH26" i="6" s="1"/>
  <c r="C44" i="9"/>
  <c r="C36" i="8"/>
  <c r="C28" i="7"/>
  <c r="D20" i="6"/>
  <c r="D44" i="9"/>
  <c r="BF51" i="9" s="1"/>
  <c r="D36" i="8"/>
  <c r="D28" i="7"/>
  <c r="AP35" i="7" s="1"/>
  <c r="C57" i="7" s="1"/>
  <c r="D3" i="9"/>
  <c r="Q51" i="9" s="1"/>
  <c r="D3" i="8"/>
  <c r="Q43" i="8" s="1"/>
  <c r="D3" i="7"/>
  <c r="Q35" i="7" s="1"/>
  <c r="C32" i="7" s="1"/>
  <c r="D27" i="5"/>
  <c r="L33" i="5" s="1"/>
  <c r="C27" i="5"/>
  <c r="L32" i="5" s="1"/>
  <c r="D18" i="5"/>
  <c r="C33" i="5" s="1"/>
  <c r="C27" i="4" l="1"/>
  <c r="B66" i="4" s="1"/>
  <c r="L2" i="2" s="1"/>
  <c r="D58" i="4"/>
  <c r="E20" i="4"/>
  <c r="D59" i="4" s="1"/>
  <c r="B30" i="4"/>
  <c r="A69" i="4" s="1"/>
  <c r="F19" i="4"/>
  <c r="E58" i="4" s="1"/>
  <c r="B29" i="4"/>
  <c r="A68" i="4" s="1"/>
  <c r="C28" i="4"/>
  <c r="B67" i="4" s="1"/>
  <c r="L3" i="2" s="1"/>
  <c r="B20" i="4"/>
  <c r="A59" i="4" s="1"/>
  <c r="A58" i="4"/>
  <c r="B58" i="4"/>
  <c r="C29" i="4"/>
  <c r="B68" i="4" s="1"/>
  <c r="B37" i="4"/>
  <c r="A76" i="4" s="1"/>
  <c r="C3" i="24"/>
  <c r="C3" i="23"/>
  <c r="C14" i="22"/>
  <c r="C23" i="22" s="1"/>
  <c r="AL5" i="24"/>
  <c r="AL18" i="24"/>
  <c r="AL19" i="24"/>
  <c r="AK24" i="24"/>
  <c r="AE24" i="24"/>
  <c r="X24" i="24"/>
  <c r="V24" i="24"/>
  <c r="Y24" i="24"/>
  <c r="AL9" i="24"/>
  <c r="S24" i="24"/>
  <c r="W24" i="24"/>
  <c r="AL16" i="24"/>
  <c r="AF24" i="24"/>
  <c r="AL22" i="24"/>
  <c r="AL6" i="24"/>
  <c r="U24" i="24"/>
  <c r="R24" i="24"/>
  <c r="AJ24" i="24"/>
  <c r="T24" i="24"/>
  <c r="AG24" i="24"/>
  <c r="AL24" i="24"/>
  <c r="AH24" i="24"/>
  <c r="AL4" i="24"/>
  <c r="AL10" i="24"/>
  <c r="Z24" i="24"/>
  <c r="AA24" i="24"/>
  <c r="AL8" i="24"/>
  <c r="AL12" i="24"/>
  <c r="AL23" i="24"/>
  <c r="AK29" i="24" s="1"/>
  <c r="AL21" i="24"/>
  <c r="AL17" i="24"/>
  <c r="AL20" i="24"/>
  <c r="AL30" i="24"/>
  <c r="AL7" i="24"/>
  <c r="AI24" i="24"/>
  <c r="AL15" i="24"/>
  <c r="AL11" i="24"/>
  <c r="AB24" i="24"/>
  <c r="AL14" i="24"/>
  <c r="AL13" i="24"/>
  <c r="AC24" i="24"/>
  <c r="AD24" i="24"/>
  <c r="AD16" i="23"/>
  <c r="AD22" i="23"/>
  <c r="H24" i="22"/>
  <c r="H8" i="22"/>
  <c r="H6" i="22"/>
  <c r="H7" i="22"/>
  <c r="G23" i="22" s="1"/>
  <c r="H5" i="22"/>
  <c r="G8" i="22"/>
  <c r="D8" i="22"/>
  <c r="F8" i="22"/>
  <c r="H4" i="22"/>
  <c r="E8" i="22"/>
  <c r="C8" i="18"/>
  <c r="AH20" i="6"/>
  <c r="C18" i="5"/>
  <c r="L3" i="5" s="1"/>
  <c r="B2" i="18"/>
  <c r="AP28" i="7"/>
  <c r="AP34" i="7"/>
  <c r="B57" i="7" s="1"/>
  <c r="AH27" i="6"/>
  <c r="AX43" i="8"/>
  <c r="BF50" i="9"/>
  <c r="BF44" i="9"/>
  <c r="C3" i="9"/>
  <c r="Q44" i="9" s="1"/>
  <c r="C3" i="8"/>
  <c r="Q36" i="8" s="1"/>
  <c r="C3" i="7"/>
  <c r="C3" i="6"/>
  <c r="AX36" i="8"/>
  <c r="AX42" i="8"/>
  <c r="L12" i="5"/>
  <c r="O2" i="2" l="1"/>
  <c r="S2" i="2"/>
  <c r="B31" i="4"/>
  <c r="A70" i="4" s="1"/>
  <c r="C30" i="4"/>
  <c r="B69" i="4" s="1"/>
  <c r="C20" i="4"/>
  <c r="C31" i="4" s="1"/>
  <c r="B70" i="4" s="1"/>
  <c r="Z2" i="2" s="1"/>
  <c r="B32" i="4"/>
  <c r="A71" i="4" s="1"/>
  <c r="F20" i="4"/>
  <c r="Q16" i="23"/>
  <c r="Q22" i="23"/>
  <c r="Q24" i="24"/>
  <c r="Q30" i="24"/>
  <c r="Q29" i="24"/>
  <c r="S33" i="24" s="1"/>
  <c r="E27" i="22"/>
  <c r="C3" i="22"/>
  <c r="G3" i="22"/>
  <c r="H3" i="22"/>
  <c r="C6" i="22"/>
  <c r="C5" i="22"/>
  <c r="C24" i="22"/>
  <c r="C7" i="22"/>
  <c r="F3" i="22"/>
  <c r="E3" i="22"/>
  <c r="D3" i="22"/>
  <c r="C4" i="22"/>
  <c r="Q3" i="23"/>
  <c r="AD3" i="23"/>
  <c r="Q12" i="24"/>
  <c r="V3" i="24"/>
  <c r="AF3" i="24"/>
  <c r="AI3" i="24"/>
  <c r="AL3" i="24"/>
  <c r="AA3" i="24"/>
  <c r="Q18" i="24"/>
  <c r="Q22" i="24"/>
  <c r="AJ3" i="24"/>
  <c r="Q13" i="24"/>
  <c r="Q3" i="24"/>
  <c r="AH3" i="24"/>
  <c r="Q7" i="24"/>
  <c r="R3" i="24"/>
  <c r="Q15" i="24"/>
  <c r="Y3" i="24"/>
  <c r="AB3" i="24"/>
  <c r="W3" i="24"/>
  <c r="AK3" i="24"/>
  <c r="Q17" i="24"/>
  <c r="Q21" i="24"/>
  <c r="AC3" i="24"/>
  <c r="AE3" i="24"/>
  <c r="Q6" i="24"/>
  <c r="Q8" i="24"/>
  <c r="AD3" i="24"/>
  <c r="Q19" i="24"/>
  <c r="Q23" i="24"/>
  <c r="S3" i="24"/>
  <c r="U3" i="24"/>
  <c r="Q4" i="24"/>
  <c r="Q9" i="24"/>
  <c r="Q11" i="24"/>
  <c r="Q14" i="24"/>
  <c r="Q16" i="24"/>
  <c r="T3" i="24"/>
  <c r="AG3" i="24"/>
  <c r="Q10" i="24"/>
  <c r="Q20" i="24"/>
  <c r="Z3" i="24"/>
  <c r="X3" i="24"/>
  <c r="Q5" i="24"/>
  <c r="C32" i="5"/>
  <c r="C8" i="22"/>
  <c r="C3" i="5"/>
  <c r="C12" i="5"/>
  <c r="B9" i="18"/>
  <c r="B8" i="18"/>
  <c r="C12" i="18" s="1"/>
  <c r="Q3" i="6"/>
  <c r="Q26" i="6"/>
  <c r="AH3" i="6"/>
  <c r="Q20" i="6"/>
  <c r="Q3" i="9"/>
  <c r="BF3" i="9"/>
  <c r="Q50" i="9"/>
  <c r="Q34" i="7"/>
  <c r="B32" i="7" s="1"/>
  <c r="AP3" i="7"/>
  <c r="Q3" i="7"/>
  <c r="Q42" i="8"/>
  <c r="Q3" i="8"/>
  <c r="AX3" i="8"/>
  <c r="Q28" i="7"/>
  <c r="AA2" i="3"/>
  <c r="S3" i="2" l="1"/>
  <c r="O3" i="2"/>
  <c r="B59" i="4"/>
  <c r="E59" i="4"/>
  <c r="C32" i="4"/>
  <c r="B71" i="4" s="1"/>
  <c r="Z3" i="2" s="1"/>
  <c r="G2" i="2"/>
  <c r="K2" i="2"/>
  <c r="N2" i="2" l="1"/>
  <c r="R2" i="2"/>
  <c r="G3" i="2"/>
  <c r="K3" i="2"/>
  <c r="H2" i="2"/>
  <c r="H3" i="2"/>
  <c r="W4" i="3" l="1"/>
  <c r="D5" i="6" s="1"/>
  <c r="S8" i="3"/>
  <c r="D9" i="8" s="1"/>
  <c r="O12" i="3"/>
  <c r="O14" i="3"/>
  <c r="O16" i="3"/>
  <c r="O18" i="3"/>
  <c r="O20" i="3"/>
  <c r="K32" i="3"/>
  <c r="K34" i="3"/>
  <c r="K36" i="3"/>
  <c r="K38" i="3"/>
  <c r="K40" i="3"/>
  <c r="G52" i="3"/>
  <c r="G54" i="3"/>
  <c r="G56" i="3"/>
  <c r="G58" i="3"/>
  <c r="G60" i="3"/>
  <c r="W5" i="3"/>
  <c r="S9" i="3"/>
  <c r="D6" i="8" s="1"/>
  <c r="O13" i="3"/>
  <c r="O15" i="3"/>
  <c r="O17" i="3"/>
  <c r="O19" i="3"/>
  <c r="O21" i="3"/>
  <c r="K33" i="3"/>
  <c r="K35" i="3"/>
  <c r="K37" i="3"/>
  <c r="K39" i="3"/>
  <c r="K41" i="3"/>
  <c r="G53" i="3"/>
  <c r="G55" i="3"/>
  <c r="G57" i="3"/>
  <c r="G59" i="3"/>
  <c r="G61" i="3"/>
  <c r="C73" i="3"/>
  <c r="C75" i="3"/>
  <c r="C77" i="3"/>
  <c r="C79" i="3"/>
  <c r="C81" i="3"/>
  <c r="C74" i="3"/>
  <c r="C78" i="3"/>
  <c r="C72" i="3"/>
  <c r="C76" i="3"/>
  <c r="C80" i="3"/>
  <c r="B2" i="3"/>
  <c r="V4" i="3"/>
  <c r="C5" i="6" s="1"/>
  <c r="R8" i="3"/>
  <c r="C9" i="8" s="1"/>
  <c r="N12" i="3"/>
  <c r="N14" i="3"/>
  <c r="N16" i="3"/>
  <c r="N18" i="3"/>
  <c r="N20" i="3"/>
  <c r="J32" i="3"/>
  <c r="J34" i="3"/>
  <c r="J36" i="3"/>
  <c r="J38" i="3"/>
  <c r="J40" i="3"/>
  <c r="F52" i="3"/>
  <c r="F54" i="3"/>
  <c r="F56" i="3"/>
  <c r="F58" i="3"/>
  <c r="F60" i="3"/>
  <c r="B72" i="3"/>
  <c r="B74" i="3"/>
  <c r="B76" i="3"/>
  <c r="B78" i="3"/>
  <c r="B80" i="3"/>
  <c r="N19" i="3"/>
  <c r="J35" i="3"/>
  <c r="F59" i="3"/>
  <c r="V5" i="3"/>
  <c r="N13" i="3"/>
  <c r="N21" i="3"/>
  <c r="J37" i="3"/>
  <c r="F53" i="3"/>
  <c r="F61" i="3"/>
  <c r="B75" i="3"/>
  <c r="B79" i="3"/>
  <c r="N15" i="3"/>
  <c r="J39" i="3"/>
  <c r="F55" i="3"/>
  <c r="R9" i="3"/>
  <c r="C10" i="8" s="1"/>
  <c r="N17" i="3"/>
  <c r="J33" i="3"/>
  <c r="J41" i="3"/>
  <c r="B81" i="3"/>
  <c r="B73" i="3"/>
  <c r="F57" i="3"/>
  <c r="B77" i="3"/>
  <c r="N3" i="2"/>
  <c r="R3" i="2"/>
  <c r="C4" i="6" l="1"/>
  <c r="D4" i="6"/>
  <c r="R23" i="23"/>
  <c r="E19" i="23" s="1"/>
  <c r="C20" i="5"/>
  <c r="Y5" i="3"/>
  <c r="U13" i="3"/>
  <c r="D10" i="7" s="1"/>
  <c r="Q21" i="3"/>
  <c r="D17" i="9" s="1"/>
  <c r="M53" i="3"/>
  <c r="M55" i="3"/>
  <c r="M59" i="3"/>
  <c r="M61" i="3"/>
  <c r="I94" i="3"/>
  <c r="I96" i="3"/>
  <c r="I98" i="3"/>
  <c r="I100" i="3"/>
  <c r="U12" i="3"/>
  <c r="D13" i="7" s="1"/>
  <c r="Q20" i="3"/>
  <c r="D23" i="9" s="1"/>
  <c r="M54" i="3"/>
  <c r="I99" i="3"/>
  <c r="M52" i="3"/>
  <c r="M60" i="3"/>
  <c r="I97" i="3"/>
  <c r="M58" i="3"/>
  <c r="I95" i="3"/>
  <c r="M56" i="3"/>
  <c r="I101" i="3"/>
  <c r="I93" i="3"/>
  <c r="T12" i="3"/>
  <c r="C13" i="7" s="1"/>
  <c r="P20" i="3"/>
  <c r="C23" i="9" s="1"/>
  <c r="L52" i="3"/>
  <c r="L57" i="3"/>
  <c r="L60" i="3"/>
  <c r="H94" i="3"/>
  <c r="H97" i="3"/>
  <c r="T13" i="3"/>
  <c r="C10" i="7" s="1"/>
  <c r="P21" i="3"/>
  <c r="C17" i="9" s="1"/>
  <c r="L55" i="3"/>
  <c r="L58" i="3"/>
  <c r="H95" i="3"/>
  <c r="H100" i="3"/>
  <c r="L53" i="3"/>
  <c r="L56" i="3"/>
  <c r="L61" i="3"/>
  <c r="H93" i="3"/>
  <c r="H98" i="3"/>
  <c r="H101" i="3"/>
  <c r="H99" i="3"/>
  <c r="L54" i="3"/>
  <c r="H96" i="3"/>
  <c r="L59" i="3"/>
  <c r="W3" i="3"/>
  <c r="Y3" i="3"/>
  <c r="V3" i="3"/>
  <c r="X3" i="3"/>
  <c r="W2" i="3"/>
  <c r="Y2" i="3"/>
  <c r="V2" i="3"/>
  <c r="R7" i="3"/>
  <c r="C8" i="8" s="1"/>
  <c r="T7" i="3"/>
  <c r="C8" i="7" s="1"/>
  <c r="S3" i="3"/>
  <c r="D10" i="8" s="1"/>
  <c r="U3" i="3"/>
  <c r="D7" i="7" s="1"/>
  <c r="S7" i="3"/>
  <c r="D7" i="8" s="1"/>
  <c r="U7" i="3"/>
  <c r="D8" i="7" s="1"/>
  <c r="R6" i="3"/>
  <c r="C6" i="8" s="1"/>
  <c r="T6" i="3"/>
  <c r="C6" i="7" s="1"/>
  <c r="S6" i="3"/>
  <c r="D11" i="8" s="1"/>
  <c r="U6" i="3"/>
  <c r="D6" i="7" s="1"/>
  <c r="R3" i="3"/>
  <c r="C7" i="8" s="1"/>
  <c r="T3" i="3"/>
  <c r="C7" i="7" s="1"/>
  <c r="S4" i="3"/>
  <c r="D4" i="8" s="1"/>
  <c r="U4" i="3"/>
  <c r="D5" i="7" s="1"/>
  <c r="R4" i="3"/>
  <c r="C5" i="8" s="1"/>
  <c r="T4" i="3"/>
  <c r="C5" i="7" s="1"/>
  <c r="R5" i="3"/>
  <c r="C4" i="8" s="1"/>
  <c r="T5" i="3"/>
  <c r="C4" i="7" s="1"/>
  <c r="S5" i="3"/>
  <c r="D5" i="8" s="1"/>
  <c r="U5" i="3"/>
  <c r="D4" i="7" s="1"/>
  <c r="S2" i="3"/>
  <c r="D8" i="8" s="1"/>
  <c r="U2" i="3"/>
  <c r="D9" i="7" s="1"/>
  <c r="R2" i="3"/>
  <c r="C11" i="8" s="1"/>
  <c r="T2" i="3"/>
  <c r="C9" i="7" s="1"/>
  <c r="N9" i="3"/>
  <c r="P9" i="3"/>
  <c r="C12" i="9" s="1"/>
  <c r="O11" i="3"/>
  <c r="Q11" i="3"/>
  <c r="D4" i="9" s="1"/>
  <c r="N6" i="3"/>
  <c r="P6" i="3"/>
  <c r="C7" i="9" s="1"/>
  <c r="N7" i="3"/>
  <c r="P7" i="3"/>
  <c r="C10" i="9" s="1"/>
  <c r="O6" i="3"/>
  <c r="Q6" i="3"/>
  <c r="D7" i="9" s="1"/>
  <c r="O10" i="3"/>
  <c r="Q10" i="3"/>
  <c r="D9" i="9" s="1"/>
  <c r="N8" i="3"/>
  <c r="P8" i="3"/>
  <c r="C11" i="9" s="1"/>
  <c r="O7" i="3"/>
  <c r="Q7" i="3"/>
  <c r="D10" i="9" s="1"/>
  <c r="N10" i="3"/>
  <c r="P10" i="3"/>
  <c r="C9" i="9" s="1"/>
  <c r="N3" i="3"/>
  <c r="P3" i="3"/>
  <c r="C8" i="9" s="1"/>
  <c r="N11" i="3"/>
  <c r="P11" i="3"/>
  <c r="C4" i="9" s="1"/>
  <c r="O4" i="3"/>
  <c r="Q4" i="3"/>
  <c r="D6" i="9" s="1"/>
  <c r="O8" i="3"/>
  <c r="Q8" i="3"/>
  <c r="D11" i="9" s="1"/>
  <c r="O3" i="3"/>
  <c r="Q3" i="3"/>
  <c r="D8" i="9" s="1"/>
  <c r="N4" i="3"/>
  <c r="P4" i="3"/>
  <c r="C6" i="9" s="1"/>
  <c r="N5" i="3"/>
  <c r="P5" i="3"/>
  <c r="C5" i="9" s="1"/>
  <c r="O5" i="3"/>
  <c r="Q5" i="3"/>
  <c r="D5" i="9" s="1"/>
  <c r="O9" i="3"/>
  <c r="Q9" i="3"/>
  <c r="D12" i="9" s="1"/>
  <c r="O2" i="3"/>
  <c r="Q2" i="3"/>
  <c r="D13" i="9" s="1"/>
  <c r="N2" i="3"/>
  <c r="P2" i="3"/>
  <c r="C13" i="9" s="1"/>
  <c r="J22" i="3"/>
  <c r="L22" i="3"/>
  <c r="J15" i="3"/>
  <c r="L15" i="3"/>
  <c r="J31" i="3"/>
  <c r="L31" i="3"/>
  <c r="K18" i="3"/>
  <c r="M18" i="3"/>
  <c r="J8" i="3"/>
  <c r="L8" i="3"/>
  <c r="J16" i="3"/>
  <c r="L16" i="3"/>
  <c r="J24" i="3"/>
  <c r="L24" i="3"/>
  <c r="J9" i="3"/>
  <c r="L9" i="3"/>
  <c r="J17" i="3"/>
  <c r="L17" i="3"/>
  <c r="J25" i="3"/>
  <c r="L25" i="3"/>
  <c r="K3" i="3"/>
  <c r="M3" i="3"/>
  <c r="K7" i="3"/>
  <c r="M7" i="3"/>
  <c r="K11" i="3"/>
  <c r="M11" i="3"/>
  <c r="K15" i="3"/>
  <c r="M15" i="3"/>
  <c r="K19" i="3"/>
  <c r="M19" i="3"/>
  <c r="K23" i="3"/>
  <c r="M23" i="3"/>
  <c r="K27" i="3"/>
  <c r="M27" i="3"/>
  <c r="K31" i="3"/>
  <c r="M31" i="3"/>
  <c r="J6" i="3"/>
  <c r="L6" i="3"/>
  <c r="J30" i="3"/>
  <c r="L30" i="3"/>
  <c r="J23" i="3"/>
  <c r="L23" i="3"/>
  <c r="K6" i="3"/>
  <c r="M6" i="3"/>
  <c r="K14" i="3"/>
  <c r="M14" i="3"/>
  <c r="K26" i="3"/>
  <c r="M26" i="3"/>
  <c r="J18" i="3"/>
  <c r="L18" i="3"/>
  <c r="J3" i="3"/>
  <c r="L3" i="3"/>
  <c r="J19" i="3"/>
  <c r="L19" i="3"/>
  <c r="J27" i="3"/>
  <c r="L27" i="3"/>
  <c r="K4" i="3"/>
  <c r="M4" i="3"/>
  <c r="K8" i="3"/>
  <c r="M8" i="3"/>
  <c r="K12" i="3"/>
  <c r="M12" i="3"/>
  <c r="K16" i="3"/>
  <c r="M16" i="3"/>
  <c r="K20" i="3"/>
  <c r="M20" i="3"/>
  <c r="K24" i="3"/>
  <c r="M24" i="3"/>
  <c r="K28" i="3"/>
  <c r="M28" i="3"/>
  <c r="J14" i="3"/>
  <c r="L14" i="3"/>
  <c r="J7" i="3"/>
  <c r="L7" i="3"/>
  <c r="K10" i="3"/>
  <c r="M10" i="3"/>
  <c r="K22" i="3"/>
  <c r="M22" i="3"/>
  <c r="K30" i="3"/>
  <c r="M30" i="3"/>
  <c r="J10" i="3"/>
  <c r="L10" i="3"/>
  <c r="J26" i="3"/>
  <c r="L26" i="3"/>
  <c r="J11" i="3"/>
  <c r="L11" i="3"/>
  <c r="J4" i="3"/>
  <c r="L4" i="3"/>
  <c r="J12" i="3"/>
  <c r="L12" i="3"/>
  <c r="J20" i="3"/>
  <c r="L20" i="3"/>
  <c r="J28" i="3"/>
  <c r="L28" i="3"/>
  <c r="J5" i="3"/>
  <c r="L5" i="3"/>
  <c r="J13" i="3"/>
  <c r="L13" i="3"/>
  <c r="J21" i="3"/>
  <c r="L21" i="3"/>
  <c r="J29" i="3"/>
  <c r="L29" i="3"/>
  <c r="K5" i="3"/>
  <c r="M5" i="3"/>
  <c r="K9" i="3"/>
  <c r="M9" i="3"/>
  <c r="K13" i="3"/>
  <c r="M13" i="3"/>
  <c r="K17" i="3"/>
  <c r="M17" i="3"/>
  <c r="K21" i="3"/>
  <c r="M21" i="3"/>
  <c r="K25" i="3"/>
  <c r="M25" i="3"/>
  <c r="K29" i="3"/>
  <c r="M29" i="3"/>
  <c r="K2" i="3"/>
  <c r="M2" i="3"/>
  <c r="J2" i="3"/>
  <c r="L2" i="3"/>
  <c r="F22" i="3"/>
  <c r="H22" i="3"/>
  <c r="F15" i="3"/>
  <c r="H15" i="3"/>
  <c r="F36" i="3"/>
  <c r="H36" i="3"/>
  <c r="G14" i="3"/>
  <c r="I14" i="3"/>
  <c r="G26" i="3"/>
  <c r="I26" i="3"/>
  <c r="G34" i="3"/>
  <c r="I34" i="3"/>
  <c r="G46" i="3"/>
  <c r="I46" i="3"/>
  <c r="F16" i="3"/>
  <c r="H16" i="3"/>
  <c r="F24" i="3"/>
  <c r="H24" i="3"/>
  <c r="F32" i="3"/>
  <c r="H32" i="3"/>
  <c r="F9" i="3"/>
  <c r="H9" i="3"/>
  <c r="F17" i="3"/>
  <c r="H17" i="3"/>
  <c r="F25" i="3"/>
  <c r="H25" i="3"/>
  <c r="F34" i="3"/>
  <c r="H34" i="3"/>
  <c r="F38" i="3"/>
  <c r="H38" i="3"/>
  <c r="F41" i="3"/>
  <c r="H41" i="3"/>
  <c r="F45" i="3"/>
  <c r="H45" i="3"/>
  <c r="F49" i="3"/>
  <c r="H49" i="3"/>
  <c r="G3" i="3"/>
  <c r="I3" i="3"/>
  <c r="G7" i="3"/>
  <c r="I7" i="3"/>
  <c r="G11" i="3"/>
  <c r="I11" i="3"/>
  <c r="G15" i="3"/>
  <c r="I15" i="3"/>
  <c r="G19" i="3"/>
  <c r="I19" i="3"/>
  <c r="G23" i="3"/>
  <c r="I23" i="3"/>
  <c r="G27" i="3"/>
  <c r="I27" i="3"/>
  <c r="G31" i="3"/>
  <c r="I31" i="3"/>
  <c r="G35" i="3"/>
  <c r="I35" i="3"/>
  <c r="G39" i="3"/>
  <c r="I39" i="3"/>
  <c r="G43" i="3"/>
  <c r="I43" i="3"/>
  <c r="G47" i="3"/>
  <c r="I47" i="3"/>
  <c r="G51" i="3"/>
  <c r="I51" i="3"/>
  <c r="F6" i="3"/>
  <c r="H6" i="3"/>
  <c r="F30" i="3"/>
  <c r="H30" i="3"/>
  <c r="F23" i="3"/>
  <c r="H23" i="3"/>
  <c r="F40" i="3"/>
  <c r="H40" i="3"/>
  <c r="F48" i="3"/>
  <c r="H48" i="3"/>
  <c r="G10" i="3"/>
  <c r="I10" i="3"/>
  <c r="G22" i="3"/>
  <c r="I22" i="3"/>
  <c r="G38" i="3"/>
  <c r="I38" i="3"/>
  <c r="F10" i="3"/>
  <c r="H10" i="3"/>
  <c r="F18" i="3"/>
  <c r="H18" i="3"/>
  <c r="F26" i="3"/>
  <c r="H26" i="3"/>
  <c r="F3" i="3"/>
  <c r="H3" i="3"/>
  <c r="F11" i="3"/>
  <c r="H11" i="3"/>
  <c r="F19" i="3"/>
  <c r="H19" i="3"/>
  <c r="F27" i="3"/>
  <c r="H27" i="3"/>
  <c r="F37" i="3"/>
  <c r="H37" i="3"/>
  <c r="F33" i="3"/>
  <c r="H33" i="3"/>
  <c r="F42" i="3"/>
  <c r="H42" i="3"/>
  <c r="F46" i="3"/>
  <c r="H46" i="3"/>
  <c r="F50" i="3"/>
  <c r="H50" i="3"/>
  <c r="G4" i="3"/>
  <c r="I4" i="3"/>
  <c r="G8" i="3"/>
  <c r="I8" i="3"/>
  <c r="G12" i="3"/>
  <c r="I12" i="3"/>
  <c r="G16" i="3"/>
  <c r="I16" i="3"/>
  <c r="G20" i="3"/>
  <c r="I20" i="3"/>
  <c r="G24" i="3"/>
  <c r="I24" i="3"/>
  <c r="G28" i="3"/>
  <c r="I28" i="3"/>
  <c r="G32" i="3"/>
  <c r="I32" i="3"/>
  <c r="G36" i="3"/>
  <c r="I36" i="3"/>
  <c r="G40" i="3"/>
  <c r="I40" i="3"/>
  <c r="G44" i="3"/>
  <c r="I44" i="3"/>
  <c r="G48" i="3"/>
  <c r="I48" i="3"/>
  <c r="F14" i="3"/>
  <c r="H14" i="3"/>
  <c r="F7" i="3"/>
  <c r="H7" i="3"/>
  <c r="F31" i="3"/>
  <c r="H31" i="3"/>
  <c r="F44" i="3"/>
  <c r="H44" i="3"/>
  <c r="G6" i="3"/>
  <c r="I6" i="3"/>
  <c r="G18" i="3"/>
  <c r="I18" i="3"/>
  <c r="G30" i="3"/>
  <c r="I30" i="3"/>
  <c r="G42" i="3"/>
  <c r="I42" i="3"/>
  <c r="G50" i="3"/>
  <c r="I50" i="3"/>
  <c r="F8" i="3"/>
  <c r="H8" i="3"/>
  <c r="F4" i="3"/>
  <c r="H4" i="3"/>
  <c r="F12" i="3"/>
  <c r="H12" i="3"/>
  <c r="F20" i="3"/>
  <c r="H20" i="3"/>
  <c r="F28" i="3"/>
  <c r="H28" i="3"/>
  <c r="F5" i="3"/>
  <c r="H5" i="3"/>
  <c r="F13" i="3"/>
  <c r="H13" i="3"/>
  <c r="F21" i="3"/>
  <c r="H21" i="3"/>
  <c r="F29" i="3"/>
  <c r="H29" i="3"/>
  <c r="F39" i="3"/>
  <c r="H39" i="3"/>
  <c r="F35" i="3"/>
  <c r="H35" i="3"/>
  <c r="F43" i="3"/>
  <c r="H43" i="3"/>
  <c r="F47" i="3"/>
  <c r="H47" i="3"/>
  <c r="F51" i="3"/>
  <c r="H51" i="3"/>
  <c r="G5" i="3"/>
  <c r="I5" i="3"/>
  <c r="G9" i="3"/>
  <c r="I9" i="3"/>
  <c r="G13" i="3"/>
  <c r="I13" i="3"/>
  <c r="G17" i="3"/>
  <c r="I17" i="3"/>
  <c r="G21" i="3"/>
  <c r="I21" i="3"/>
  <c r="G25" i="3"/>
  <c r="I25" i="3"/>
  <c r="G29" i="3"/>
  <c r="I29" i="3"/>
  <c r="G33" i="3"/>
  <c r="I33" i="3"/>
  <c r="G37" i="3"/>
  <c r="I37" i="3"/>
  <c r="G41" i="3"/>
  <c r="I41" i="3"/>
  <c r="G45" i="3"/>
  <c r="I45" i="3"/>
  <c r="G49" i="3"/>
  <c r="I49" i="3"/>
  <c r="G2" i="3"/>
  <c r="I2" i="3"/>
  <c r="F2" i="3"/>
  <c r="H2" i="3"/>
  <c r="B64" i="3"/>
  <c r="D64" i="3"/>
  <c r="B68" i="3"/>
  <c r="D68" i="3"/>
  <c r="C62" i="3"/>
  <c r="E62" i="3"/>
  <c r="C66" i="3"/>
  <c r="E66" i="3"/>
  <c r="C70" i="3"/>
  <c r="E70" i="3"/>
  <c r="B66" i="3"/>
  <c r="D66" i="3"/>
  <c r="C64" i="3"/>
  <c r="E64" i="3"/>
  <c r="C68" i="3"/>
  <c r="E68" i="3"/>
  <c r="B65" i="3"/>
  <c r="D65" i="3"/>
  <c r="B69" i="3"/>
  <c r="D69" i="3"/>
  <c r="C63" i="3"/>
  <c r="E63" i="3"/>
  <c r="C67" i="3"/>
  <c r="E67" i="3"/>
  <c r="C71" i="3"/>
  <c r="E71" i="3"/>
  <c r="B62" i="3"/>
  <c r="D62" i="3"/>
  <c r="B70" i="3"/>
  <c r="D70" i="3"/>
  <c r="B63" i="3"/>
  <c r="D63" i="3"/>
  <c r="B67" i="3"/>
  <c r="D67" i="3"/>
  <c r="B71" i="3"/>
  <c r="D71" i="3"/>
  <c r="C65" i="3"/>
  <c r="E65" i="3"/>
  <c r="C69" i="3"/>
  <c r="E69" i="3"/>
  <c r="B14" i="3"/>
  <c r="D14" i="3"/>
  <c r="B22" i="3"/>
  <c r="D22" i="3"/>
  <c r="B30" i="3"/>
  <c r="D30" i="3"/>
  <c r="B7" i="3"/>
  <c r="D7" i="3"/>
  <c r="B15" i="3"/>
  <c r="D15" i="3"/>
  <c r="B23" i="3"/>
  <c r="D23" i="3"/>
  <c r="B31" i="3"/>
  <c r="D31" i="3"/>
  <c r="B36" i="3"/>
  <c r="D36" i="3"/>
  <c r="B40" i="3"/>
  <c r="D40" i="3"/>
  <c r="B44" i="3"/>
  <c r="D44" i="3"/>
  <c r="B48" i="3"/>
  <c r="D48" i="3"/>
  <c r="B52" i="3"/>
  <c r="D52" i="3"/>
  <c r="B56" i="3"/>
  <c r="D56" i="3"/>
  <c r="B60" i="3"/>
  <c r="D60" i="3"/>
  <c r="C6" i="3"/>
  <c r="E6" i="3"/>
  <c r="C10" i="3"/>
  <c r="E10" i="3"/>
  <c r="C14" i="3"/>
  <c r="E14" i="3"/>
  <c r="C18" i="3"/>
  <c r="E18" i="3"/>
  <c r="C22" i="3"/>
  <c r="E22" i="3"/>
  <c r="C26" i="3"/>
  <c r="E26" i="3"/>
  <c r="C30" i="3"/>
  <c r="E30" i="3"/>
  <c r="C34" i="3"/>
  <c r="E34" i="3"/>
  <c r="C38" i="3"/>
  <c r="E38" i="3"/>
  <c r="C42" i="3"/>
  <c r="E42" i="3"/>
  <c r="C46" i="3"/>
  <c r="E46" i="3"/>
  <c r="C50" i="3"/>
  <c r="E50" i="3"/>
  <c r="C54" i="3"/>
  <c r="E54" i="3"/>
  <c r="C58" i="3"/>
  <c r="E58" i="3"/>
  <c r="B8" i="3"/>
  <c r="D8" i="3"/>
  <c r="B16" i="3"/>
  <c r="D16" i="3"/>
  <c r="B24" i="3"/>
  <c r="D24" i="3"/>
  <c r="B32" i="3"/>
  <c r="D32" i="3"/>
  <c r="B9" i="3"/>
  <c r="D9" i="3"/>
  <c r="B17" i="3"/>
  <c r="D17" i="3"/>
  <c r="B25" i="3"/>
  <c r="D25" i="3"/>
  <c r="B34" i="3"/>
  <c r="D34" i="3"/>
  <c r="B38" i="3"/>
  <c r="D38" i="3"/>
  <c r="B41" i="3"/>
  <c r="D41" i="3"/>
  <c r="B45" i="3"/>
  <c r="D45" i="3"/>
  <c r="B49" i="3"/>
  <c r="D49" i="3"/>
  <c r="B53" i="3"/>
  <c r="D53" i="3"/>
  <c r="B57" i="3"/>
  <c r="D57" i="3"/>
  <c r="B61" i="3"/>
  <c r="D61" i="3"/>
  <c r="C3" i="3"/>
  <c r="E3" i="3"/>
  <c r="C7" i="3"/>
  <c r="E7" i="3"/>
  <c r="C11" i="3"/>
  <c r="E11" i="3"/>
  <c r="C15" i="3"/>
  <c r="E15" i="3"/>
  <c r="C19" i="3"/>
  <c r="E19" i="3"/>
  <c r="C23" i="3"/>
  <c r="E23" i="3"/>
  <c r="C27" i="3"/>
  <c r="E27" i="3"/>
  <c r="C31" i="3"/>
  <c r="E31" i="3"/>
  <c r="C35" i="3"/>
  <c r="E35" i="3"/>
  <c r="C39" i="3"/>
  <c r="E39" i="3"/>
  <c r="C43" i="3"/>
  <c r="E43" i="3"/>
  <c r="C47" i="3"/>
  <c r="E47" i="3"/>
  <c r="C51" i="3"/>
  <c r="E51" i="3"/>
  <c r="C55" i="3"/>
  <c r="E55" i="3"/>
  <c r="C59" i="3"/>
  <c r="E59" i="3"/>
  <c r="B6" i="3"/>
  <c r="D6" i="3"/>
  <c r="B10" i="3"/>
  <c r="D10" i="3"/>
  <c r="B18" i="3"/>
  <c r="D18" i="3"/>
  <c r="B26" i="3"/>
  <c r="D26" i="3"/>
  <c r="B3" i="3"/>
  <c r="D3" i="3"/>
  <c r="B11" i="3"/>
  <c r="D11" i="3"/>
  <c r="B19" i="3"/>
  <c r="D19" i="3"/>
  <c r="B27" i="3"/>
  <c r="D27" i="3"/>
  <c r="B37" i="3"/>
  <c r="D37" i="3"/>
  <c r="B33" i="3"/>
  <c r="D33" i="3"/>
  <c r="B42" i="3"/>
  <c r="D42" i="3"/>
  <c r="B46" i="3"/>
  <c r="D46" i="3"/>
  <c r="B50" i="3"/>
  <c r="D50" i="3"/>
  <c r="B54" i="3"/>
  <c r="D54" i="3"/>
  <c r="B58" i="3"/>
  <c r="D58" i="3"/>
  <c r="C4" i="3"/>
  <c r="E4" i="3"/>
  <c r="C8" i="3"/>
  <c r="E8" i="3"/>
  <c r="C12" i="3"/>
  <c r="E12" i="3"/>
  <c r="C16" i="3"/>
  <c r="E16" i="3"/>
  <c r="C20" i="3"/>
  <c r="E20" i="3"/>
  <c r="C24" i="3"/>
  <c r="E24" i="3"/>
  <c r="C28" i="3"/>
  <c r="E28" i="3"/>
  <c r="C32" i="3"/>
  <c r="E32" i="3"/>
  <c r="C36" i="3"/>
  <c r="E36" i="3"/>
  <c r="C40" i="3"/>
  <c r="E40" i="3"/>
  <c r="C44" i="3"/>
  <c r="E44" i="3"/>
  <c r="C48" i="3"/>
  <c r="E48" i="3"/>
  <c r="C52" i="3"/>
  <c r="E52" i="3"/>
  <c r="C56" i="3"/>
  <c r="E56" i="3"/>
  <c r="C60" i="3"/>
  <c r="E60" i="3"/>
  <c r="B4" i="3"/>
  <c r="D4" i="3"/>
  <c r="B12" i="3"/>
  <c r="D12" i="3"/>
  <c r="B20" i="3"/>
  <c r="D20" i="3"/>
  <c r="B28" i="3"/>
  <c r="D28" i="3"/>
  <c r="B5" i="3"/>
  <c r="D5" i="3"/>
  <c r="B13" i="3"/>
  <c r="D13" i="3"/>
  <c r="B21" i="3"/>
  <c r="D21" i="3"/>
  <c r="B29" i="3"/>
  <c r="D29" i="3"/>
  <c r="B39" i="3"/>
  <c r="D39" i="3"/>
  <c r="B35" i="3"/>
  <c r="D35" i="3"/>
  <c r="B43" i="3"/>
  <c r="D43" i="3"/>
  <c r="B47" i="3"/>
  <c r="D47" i="3"/>
  <c r="B51" i="3"/>
  <c r="D51" i="3"/>
  <c r="B55" i="3"/>
  <c r="D55" i="3"/>
  <c r="B59" i="3"/>
  <c r="D59" i="3"/>
  <c r="C5" i="3"/>
  <c r="E5" i="3"/>
  <c r="C9" i="3"/>
  <c r="E9" i="3"/>
  <c r="C13" i="3"/>
  <c r="E13" i="3"/>
  <c r="C17" i="3"/>
  <c r="E17" i="3"/>
  <c r="C21" i="3"/>
  <c r="E21" i="3"/>
  <c r="C25" i="3"/>
  <c r="E25" i="3"/>
  <c r="C29" i="3"/>
  <c r="E29" i="3"/>
  <c r="C33" i="3"/>
  <c r="E33" i="3"/>
  <c r="C37" i="3"/>
  <c r="E37" i="3"/>
  <c r="C41" i="3"/>
  <c r="E41" i="3"/>
  <c r="C45" i="3"/>
  <c r="E45" i="3"/>
  <c r="C49" i="3"/>
  <c r="E49" i="3"/>
  <c r="C53" i="3"/>
  <c r="E53" i="3"/>
  <c r="C57" i="3"/>
  <c r="E57" i="3"/>
  <c r="C61" i="3"/>
  <c r="E61" i="3"/>
  <c r="C2" i="3"/>
  <c r="E2" i="3"/>
  <c r="D2" i="3"/>
  <c r="U3" i="2"/>
  <c r="Y3" i="2"/>
  <c r="V3" i="2"/>
  <c r="U2" i="2"/>
  <c r="Y2" i="2"/>
  <c r="V2" i="2"/>
  <c r="M57" i="3"/>
  <c r="D6" i="6" l="1"/>
  <c r="S23" i="23"/>
  <c r="E20" i="23" s="1"/>
  <c r="C6" i="6"/>
  <c r="R22" i="23"/>
  <c r="D19" i="23" s="1"/>
  <c r="R4" i="23"/>
  <c r="AD4" i="23"/>
  <c r="Q4" i="23"/>
  <c r="R16" i="23"/>
  <c r="R3" i="23"/>
  <c r="D7" i="6"/>
  <c r="T23" i="23"/>
  <c r="E21" i="23" s="1"/>
  <c r="C7" i="6"/>
  <c r="R43" i="8"/>
  <c r="T35" i="7"/>
  <c r="C35" i="7" s="1"/>
  <c r="W51" i="9"/>
  <c r="R50" i="9"/>
  <c r="R51" i="9"/>
  <c r="R34" i="7"/>
  <c r="B33" i="7" s="1"/>
  <c r="T51" i="9"/>
  <c r="S51" i="9"/>
  <c r="U51" i="9"/>
  <c r="R35" i="7"/>
  <c r="C33" i="7" s="1"/>
  <c r="W6" i="8"/>
  <c r="V6" i="8"/>
  <c r="U6" i="8"/>
  <c r="T6" i="8"/>
  <c r="S6" i="8"/>
  <c r="Q6" i="8"/>
  <c r="T36" i="8"/>
  <c r="W5" i="8"/>
  <c r="S36" i="8"/>
  <c r="V5" i="8"/>
  <c r="U5" i="8"/>
  <c r="T5" i="8"/>
  <c r="S5" i="8"/>
  <c r="Q5" i="8"/>
  <c r="V8" i="8"/>
  <c r="U8" i="8"/>
  <c r="S8" i="8"/>
  <c r="Q8" i="8"/>
  <c r="V36" i="8"/>
  <c r="W8" i="8"/>
  <c r="T8" i="8"/>
  <c r="T44" i="9"/>
  <c r="Q10" i="9"/>
  <c r="X44" i="9"/>
  <c r="V44" i="9"/>
  <c r="Y44" i="9"/>
  <c r="W7" i="8"/>
  <c r="V7" i="8"/>
  <c r="U7" i="8"/>
  <c r="T7" i="8"/>
  <c r="S7" i="8"/>
  <c r="Q7" i="8"/>
  <c r="U36" i="8"/>
  <c r="Q9" i="8"/>
  <c r="W9" i="8"/>
  <c r="V9" i="8"/>
  <c r="U9" i="8"/>
  <c r="T9" i="8"/>
  <c r="S9" i="8"/>
  <c r="W36" i="8"/>
  <c r="U44" i="9"/>
  <c r="S44" i="9"/>
  <c r="W44" i="9"/>
  <c r="R44" i="9"/>
  <c r="V4" i="8"/>
  <c r="R4" i="8"/>
  <c r="R5" i="8"/>
  <c r="W4" i="8"/>
  <c r="S4" i="8"/>
  <c r="R7" i="8"/>
  <c r="R8" i="8"/>
  <c r="R36" i="8"/>
  <c r="U4" i="8"/>
  <c r="R9" i="8"/>
  <c r="Q4" i="8"/>
  <c r="T4" i="8"/>
  <c r="R6" i="8"/>
  <c r="U35" i="7"/>
  <c r="C36" i="7" s="1"/>
  <c r="S35" i="7"/>
  <c r="C34" i="7" s="1"/>
  <c r="U3" i="9"/>
  <c r="BF7" i="9"/>
  <c r="S7" i="9"/>
  <c r="Q7" i="9"/>
  <c r="X7" i="9"/>
  <c r="R7" i="9"/>
  <c r="U7" i="9"/>
  <c r="V7" i="9"/>
  <c r="T7" i="9"/>
  <c r="W7" i="9"/>
  <c r="Y7" i="9"/>
  <c r="W50" i="9"/>
  <c r="V5" i="9"/>
  <c r="T5" i="9"/>
  <c r="S5" i="9"/>
  <c r="W5" i="9"/>
  <c r="BF5" i="9"/>
  <c r="S3" i="9"/>
  <c r="Y5" i="9"/>
  <c r="Q5" i="9"/>
  <c r="U5" i="9"/>
  <c r="X5" i="9"/>
  <c r="R5" i="9"/>
  <c r="S50" i="9"/>
  <c r="Q6" i="9"/>
  <c r="T6" i="9"/>
  <c r="T3" i="9"/>
  <c r="S6" i="9"/>
  <c r="BF6" i="9"/>
  <c r="V6" i="9"/>
  <c r="Y6" i="9"/>
  <c r="U6" i="9"/>
  <c r="X6" i="9"/>
  <c r="R6" i="9"/>
  <c r="W6" i="9"/>
  <c r="V11" i="9"/>
  <c r="R11" i="9"/>
  <c r="Y11" i="9"/>
  <c r="BF11" i="9"/>
  <c r="U11" i="9"/>
  <c r="Q11" i="9"/>
  <c r="Y3" i="9"/>
  <c r="T11" i="9"/>
  <c r="S11" i="9"/>
  <c r="X11" i="9"/>
  <c r="W11" i="9"/>
  <c r="S4" i="9"/>
  <c r="V4" i="9"/>
  <c r="Y4" i="9"/>
  <c r="R4" i="9"/>
  <c r="R3" i="9"/>
  <c r="U4" i="9"/>
  <c r="Q4" i="9"/>
  <c r="X4" i="9"/>
  <c r="W4" i="9"/>
  <c r="T4" i="9"/>
  <c r="BF4" i="9"/>
  <c r="R9" i="9"/>
  <c r="Y9" i="9"/>
  <c r="BF9" i="9"/>
  <c r="Q9" i="9"/>
  <c r="W9" i="9"/>
  <c r="V9" i="9"/>
  <c r="U9" i="9"/>
  <c r="W3" i="9"/>
  <c r="T9" i="9"/>
  <c r="X9" i="9"/>
  <c r="S9" i="9"/>
  <c r="U50" i="9"/>
  <c r="R10" i="9"/>
  <c r="X3" i="9"/>
  <c r="BF10" i="9"/>
  <c r="V10" i="9"/>
  <c r="Y10" i="9"/>
  <c r="U10" i="9"/>
  <c r="T10" i="9"/>
  <c r="S10" i="9"/>
  <c r="X10" i="9"/>
  <c r="W10" i="9"/>
  <c r="T50" i="9"/>
  <c r="Y8" i="9"/>
  <c r="U8" i="9"/>
  <c r="W8" i="9"/>
  <c r="R8" i="9"/>
  <c r="BF8" i="9"/>
  <c r="V8" i="9"/>
  <c r="S8" i="9"/>
  <c r="V3" i="9"/>
  <c r="Q8" i="9"/>
  <c r="T8" i="9"/>
  <c r="X8" i="9"/>
  <c r="R3" i="8"/>
  <c r="AX4" i="8"/>
  <c r="T3" i="8"/>
  <c r="AX6" i="8"/>
  <c r="V3" i="8"/>
  <c r="AX8" i="8"/>
  <c r="U3" i="8"/>
  <c r="AX7" i="8"/>
  <c r="AX9" i="8"/>
  <c r="W3" i="8"/>
  <c r="T34" i="7"/>
  <c r="B35" i="7" s="1"/>
  <c r="T4" i="7"/>
  <c r="R28" i="7"/>
  <c r="R4" i="7"/>
  <c r="Q4" i="7"/>
  <c r="S4" i="7"/>
  <c r="R33" i="7" s="1"/>
  <c r="AP4" i="7"/>
  <c r="R3" i="7"/>
  <c r="U4" i="7"/>
  <c r="S34" i="7"/>
  <c r="B34" i="7" s="1"/>
  <c r="Q6" i="7"/>
  <c r="T28" i="7"/>
  <c r="T3" i="7"/>
  <c r="U6" i="7"/>
  <c r="T33" i="7" s="1"/>
  <c r="R6" i="7"/>
  <c r="AP6" i="7"/>
  <c r="T6" i="7"/>
  <c r="S6" i="7"/>
  <c r="U34" i="7"/>
  <c r="B36" i="7" s="1"/>
  <c r="T5" i="7"/>
  <c r="S33" i="7" s="1"/>
  <c r="R5" i="7"/>
  <c r="Q5" i="7"/>
  <c r="S3" i="7"/>
  <c r="S5" i="7"/>
  <c r="AP5" i="7"/>
  <c r="S28" i="7"/>
  <c r="U5" i="7"/>
  <c r="AX5" i="8"/>
  <c r="S3" i="8"/>
  <c r="U28" i="7"/>
  <c r="Q7" i="7"/>
  <c r="T7" i="7"/>
  <c r="U3" i="7"/>
  <c r="U7" i="7"/>
  <c r="S7" i="7"/>
  <c r="AP7" i="7"/>
  <c r="R7" i="7"/>
  <c r="X6" i="3"/>
  <c r="F179" i="3"/>
  <c r="B232" i="3"/>
  <c r="B240" i="3"/>
  <c r="B233" i="3"/>
  <c r="B241" i="3"/>
  <c r="X7" i="3"/>
  <c r="N56" i="3"/>
  <c r="N59" i="3"/>
  <c r="J112" i="3"/>
  <c r="J115" i="3"/>
  <c r="J120" i="3"/>
  <c r="F176" i="3"/>
  <c r="N54" i="3"/>
  <c r="J113" i="3"/>
  <c r="J121" i="3"/>
  <c r="F177" i="3"/>
  <c r="B238" i="3"/>
  <c r="N52" i="3"/>
  <c r="N55" i="3"/>
  <c r="N60" i="3"/>
  <c r="J116" i="3"/>
  <c r="J119" i="3"/>
  <c r="F172" i="3"/>
  <c r="F175" i="3"/>
  <c r="F180" i="3"/>
  <c r="B236" i="3"/>
  <c r="B239" i="3"/>
  <c r="R25" i="3"/>
  <c r="C23" i="8" s="1"/>
  <c r="N53" i="3"/>
  <c r="N58" i="3"/>
  <c r="N61" i="3"/>
  <c r="J114" i="3"/>
  <c r="J117" i="3"/>
  <c r="F173" i="3"/>
  <c r="F178" i="3"/>
  <c r="F181" i="3"/>
  <c r="B234" i="3"/>
  <c r="B237" i="3"/>
  <c r="B235" i="3"/>
  <c r="R24" i="3"/>
  <c r="C20" i="8" s="1"/>
  <c r="N57" i="3"/>
  <c r="J118" i="3"/>
  <c r="F174" i="3"/>
  <c r="Y7" i="3"/>
  <c r="S25" i="3"/>
  <c r="D27" i="8" s="1"/>
  <c r="O52" i="3"/>
  <c r="O54" i="3"/>
  <c r="O56" i="3"/>
  <c r="O58" i="3"/>
  <c r="O60" i="3"/>
  <c r="K112" i="3"/>
  <c r="K114" i="3"/>
  <c r="K116" i="3"/>
  <c r="K118" i="3"/>
  <c r="K120" i="3"/>
  <c r="G172" i="3"/>
  <c r="G174" i="3"/>
  <c r="G176" i="3"/>
  <c r="G178" i="3"/>
  <c r="G180" i="3"/>
  <c r="C232" i="3"/>
  <c r="C234" i="3"/>
  <c r="C236" i="3"/>
  <c r="C238" i="3"/>
  <c r="O59" i="3"/>
  <c r="K115" i="3"/>
  <c r="O53" i="3"/>
  <c r="O61" i="3"/>
  <c r="K117" i="3"/>
  <c r="G173" i="3"/>
  <c r="C237" i="3"/>
  <c r="S24" i="3"/>
  <c r="D24" i="8" s="1"/>
  <c r="O57" i="3"/>
  <c r="K113" i="3"/>
  <c r="K121" i="3"/>
  <c r="G177" i="3"/>
  <c r="C233" i="3"/>
  <c r="C241" i="3"/>
  <c r="Y6" i="3"/>
  <c r="O55" i="3"/>
  <c r="K119" i="3"/>
  <c r="G175" i="3"/>
  <c r="C239" i="3"/>
  <c r="G181" i="3"/>
  <c r="G179" i="3"/>
  <c r="C235" i="3"/>
  <c r="D22" i="5"/>
  <c r="C22" i="5"/>
  <c r="D20" i="5"/>
  <c r="D19" i="5"/>
  <c r="C19" i="5"/>
  <c r="W6" i="3"/>
  <c r="Y4" i="3"/>
  <c r="V6" i="3"/>
  <c r="X4" i="3"/>
  <c r="U9" i="3"/>
  <c r="D14" i="7" s="1"/>
  <c r="W7" i="3"/>
  <c r="T9" i="3"/>
  <c r="C14" i="7" s="1"/>
  <c r="V7" i="3"/>
  <c r="U10" i="3"/>
  <c r="D11" i="7" s="1"/>
  <c r="V35" i="7" s="1"/>
  <c r="C37" i="7" s="1"/>
  <c r="W8" i="3"/>
  <c r="D8" i="6" s="1"/>
  <c r="T10" i="3"/>
  <c r="C11" i="7" s="1"/>
  <c r="V34" i="7" s="1"/>
  <c r="B37" i="7" s="1"/>
  <c r="V8" i="3"/>
  <c r="C8" i="6" s="1"/>
  <c r="U11" i="3"/>
  <c r="D15" i="7" s="1"/>
  <c r="W9" i="3"/>
  <c r="T11" i="3"/>
  <c r="C15" i="7" s="1"/>
  <c r="V9" i="3"/>
  <c r="S10" i="3"/>
  <c r="D18" i="8" s="1"/>
  <c r="U8" i="3"/>
  <c r="D12" i="7" s="1"/>
  <c r="R10" i="3"/>
  <c r="C15" i="8" s="1"/>
  <c r="T8" i="3"/>
  <c r="C12" i="7" s="1"/>
  <c r="Q18" i="3"/>
  <c r="D15" i="9" s="1"/>
  <c r="S16" i="3"/>
  <c r="D15" i="8" s="1"/>
  <c r="Q15" i="3"/>
  <c r="D22" i="9" s="1"/>
  <c r="S13" i="3"/>
  <c r="D14" i="8" s="1"/>
  <c r="Q16" i="3"/>
  <c r="D19" i="9" s="1"/>
  <c r="S14" i="3"/>
  <c r="D17" i="8" s="1"/>
  <c r="P16" i="3"/>
  <c r="C19" i="9" s="1"/>
  <c r="R14" i="3"/>
  <c r="C16" i="8" s="1"/>
  <c r="Q14" i="3"/>
  <c r="D16" i="9" s="1"/>
  <c r="S12" i="3"/>
  <c r="D13" i="8" s="1"/>
  <c r="Q19" i="3"/>
  <c r="D20" i="9" s="1"/>
  <c r="S17" i="3"/>
  <c r="D12" i="8" s="1"/>
  <c r="Q13" i="3"/>
  <c r="D21" i="9" s="1"/>
  <c r="X51" i="9" s="1"/>
  <c r="S11" i="3"/>
  <c r="D19" i="8" s="1"/>
  <c r="Q17" i="3"/>
  <c r="D14" i="9" s="1"/>
  <c r="S15" i="3"/>
  <c r="D16" i="8" s="1"/>
  <c r="P13" i="3"/>
  <c r="C21" i="9" s="1"/>
  <c r="X50" i="9" s="1"/>
  <c r="R11" i="3"/>
  <c r="C18" i="8" s="1"/>
  <c r="P17" i="3"/>
  <c r="C14" i="9" s="1"/>
  <c r="R15" i="3"/>
  <c r="C12" i="8" s="1"/>
  <c r="P14" i="3"/>
  <c r="C16" i="9" s="1"/>
  <c r="Z4" i="9" s="1"/>
  <c r="R12" i="3"/>
  <c r="C14" i="8" s="1"/>
  <c r="P18" i="3"/>
  <c r="C15" i="9" s="1"/>
  <c r="R16" i="3"/>
  <c r="C13" i="8" s="1"/>
  <c r="P15" i="3"/>
  <c r="C22" i="9" s="1"/>
  <c r="R13" i="3"/>
  <c r="C19" i="8" s="1"/>
  <c r="P19" i="3"/>
  <c r="C20" i="9" s="1"/>
  <c r="R17" i="3"/>
  <c r="C17" i="8" s="1"/>
  <c r="O22" i="3"/>
  <c r="Q12" i="3"/>
  <c r="D18" i="9" s="1"/>
  <c r="V51" i="9" s="1"/>
  <c r="N22" i="3"/>
  <c r="P12" i="3"/>
  <c r="C18" i="9" s="1"/>
  <c r="M37" i="3"/>
  <c r="O27" i="3"/>
  <c r="M49" i="3"/>
  <c r="O39" i="3"/>
  <c r="L41" i="3"/>
  <c r="N31" i="3"/>
  <c r="M36" i="3"/>
  <c r="O26" i="3"/>
  <c r="M40" i="3"/>
  <c r="O30" i="3"/>
  <c r="M44" i="3"/>
  <c r="O34" i="3"/>
  <c r="M48" i="3"/>
  <c r="O38" i="3"/>
  <c r="L36" i="3"/>
  <c r="N26" i="3"/>
  <c r="L40" i="3"/>
  <c r="N30" i="3"/>
  <c r="L44" i="3"/>
  <c r="N34" i="3"/>
  <c r="L48" i="3"/>
  <c r="N38" i="3"/>
  <c r="M33" i="3"/>
  <c r="O23" i="3"/>
  <c r="M45" i="3"/>
  <c r="O35" i="3"/>
  <c r="L33" i="3"/>
  <c r="N23" i="3"/>
  <c r="L49" i="3"/>
  <c r="N39" i="3"/>
  <c r="M34" i="3"/>
  <c r="O24" i="3"/>
  <c r="M38" i="3"/>
  <c r="O28" i="3"/>
  <c r="M42" i="3"/>
  <c r="O32" i="3"/>
  <c r="M46" i="3"/>
  <c r="O36" i="3"/>
  <c r="M50" i="3"/>
  <c r="O40" i="3"/>
  <c r="L34" i="3"/>
  <c r="N24" i="3"/>
  <c r="L38" i="3"/>
  <c r="N28" i="3"/>
  <c r="L42" i="3"/>
  <c r="N32" i="3"/>
  <c r="L46" i="3"/>
  <c r="N36" i="3"/>
  <c r="L50" i="3"/>
  <c r="N40" i="3"/>
  <c r="M41" i="3"/>
  <c r="O31" i="3"/>
  <c r="L37" i="3"/>
  <c r="N27" i="3"/>
  <c r="L45" i="3"/>
  <c r="N35" i="3"/>
  <c r="M35" i="3"/>
  <c r="O25" i="3"/>
  <c r="M39" i="3"/>
  <c r="O29" i="3"/>
  <c r="M43" i="3"/>
  <c r="O33" i="3"/>
  <c r="M47" i="3"/>
  <c r="O37" i="3"/>
  <c r="M51" i="3"/>
  <c r="O41" i="3"/>
  <c r="L35" i="3"/>
  <c r="N25" i="3"/>
  <c r="L39" i="3"/>
  <c r="N29" i="3"/>
  <c r="L43" i="3"/>
  <c r="N33" i="3"/>
  <c r="L47" i="3"/>
  <c r="N37" i="3"/>
  <c r="L51" i="3"/>
  <c r="N41" i="3"/>
  <c r="K42" i="3"/>
  <c r="M32" i="3"/>
  <c r="J42" i="3"/>
  <c r="L32" i="3"/>
  <c r="I61" i="3"/>
  <c r="K50" i="3"/>
  <c r="I69" i="3"/>
  <c r="K58" i="3"/>
  <c r="I81" i="3"/>
  <c r="K70" i="3"/>
  <c r="H69" i="3"/>
  <c r="J58" i="3"/>
  <c r="H81" i="3"/>
  <c r="J70" i="3"/>
  <c r="H89" i="3"/>
  <c r="J78" i="3"/>
  <c r="I58" i="3"/>
  <c r="K47" i="3"/>
  <c r="I70" i="3"/>
  <c r="K59" i="3"/>
  <c r="I78" i="3"/>
  <c r="K67" i="3"/>
  <c r="I82" i="3"/>
  <c r="K71" i="3"/>
  <c r="I86" i="3"/>
  <c r="K75" i="3"/>
  <c r="I90" i="3"/>
  <c r="K79" i="3"/>
  <c r="H54" i="3"/>
  <c r="J43" i="3"/>
  <c r="H58" i="3"/>
  <c r="J47" i="3"/>
  <c r="H62" i="3"/>
  <c r="J51" i="3"/>
  <c r="H66" i="3"/>
  <c r="J55" i="3"/>
  <c r="H70" i="3"/>
  <c r="J59" i="3"/>
  <c r="H74" i="3"/>
  <c r="J63" i="3"/>
  <c r="H78" i="3"/>
  <c r="J67" i="3"/>
  <c r="H82" i="3"/>
  <c r="J71" i="3"/>
  <c r="H86" i="3"/>
  <c r="J75" i="3"/>
  <c r="H90" i="3"/>
  <c r="J79" i="3"/>
  <c r="I57" i="3"/>
  <c r="K46" i="3"/>
  <c r="I73" i="3"/>
  <c r="K62" i="3"/>
  <c r="I85" i="3"/>
  <c r="K74" i="3"/>
  <c r="H57" i="3"/>
  <c r="J46" i="3"/>
  <c r="H65" i="3"/>
  <c r="J54" i="3"/>
  <c r="H77" i="3"/>
  <c r="J66" i="3"/>
  <c r="H85" i="3"/>
  <c r="J74" i="3"/>
  <c r="I62" i="3"/>
  <c r="K51" i="3"/>
  <c r="I74" i="3"/>
  <c r="K63" i="3"/>
  <c r="I55" i="3"/>
  <c r="K44" i="3"/>
  <c r="I59" i="3"/>
  <c r="K48" i="3"/>
  <c r="I63" i="3"/>
  <c r="K52" i="3"/>
  <c r="I67" i="3"/>
  <c r="K56" i="3"/>
  <c r="I71" i="3"/>
  <c r="K60" i="3"/>
  <c r="I75" i="3"/>
  <c r="K64" i="3"/>
  <c r="I79" i="3"/>
  <c r="K68" i="3"/>
  <c r="I83" i="3"/>
  <c r="K72" i="3"/>
  <c r="I87" i="3"/>
  <c r="K76" i="3"/>
  <c r="I91" i="3"/>
  <c r="K80" i="3"/>
  <c r="H55" i="3"/>
  <c r="J44" i="3"/>
  <c r="H59" i="3"/>
  <c r="J48" i="3"/>
  <c r="H63" i="3"/>
  <c r="J52" i="3"/>
  <c r="H67" i="3"/>
  <c r="J56" i="3"/>
  <c r="H71" i="3"/>
  <c r="J60" i="3"/>
  <c r="H75" i="3"/>
  <c r="J64" i="3"/>
  <c r="H79" i="3"/>
  <c r="J68" i="3"/>
  <c r="H83" i="3"/>
  <c r="J72" i="3"/>
  <c r="H87" i="3"/>
  <c r="J76" i="3"/>
  <c r="H91" i="3"/>
  <c r="J80" i="3"/>
  <c r="I65" i="3"/>
  <c r="K54" i="3"/>
  <c r="I77" i="3"/>
  <c r="K66" i="3"/>
  <c r="I89" i="3"/>
  <c r="K78" i="3"/>
  <c r="H61" i="3"/>
  <c r="J50" i="3"/>
  <c r="H73" i="3"/>
  <c r="J62" i="3"/>
  <c r="I54" i="3"/>
  <c r="K43" i="3"/>
  <c r="I66" i="3"/>
  <c r="K55" i="3"/>
  <c r="I56" i="3"/>
  <c r="K45" i="3"/>
  <c r="I60" i="3"/>
  <c r="K49" i="3"/>
  <c r="I64" i="3"/>
  <c r="K53" i="3"/>
  <c r="I68" i="3"/>
  <c r="K57" i="3"/>
  <c r="I72" i="3"/>
  <c r="K61" i="3"/>
  <c r="I76" i="3"/>
  <c r="K65" i="3"/>
  <c r="I80" i="3"/>
  <c r="K69" i="3"/>
  <c r="I84" i="3"/>
  <c r="K73" i="3"/>
  <c r="I88" i="3"/>
  <c r="K77" i="3"/>
  <c r="I92" i="3"/>
  <c r="K81" i="3"/>
  <c r="H56" i="3"/>
  <c r="J45" i="3"/>
  <c r="H60" i="3"/>
  <c r="J49" i="3"/>
  <c r="H64" i="3"/>
  <c r="J53" i="3"/>
  <c r="H68" i="3"/>
  <c r="J57" i="3"/>
  <c r="H72" i="3"/>
  <c r="J61" i="3"/>
  <c r="H76" i="3"/>
  <c r="J65" i="3"/>
  <c r="H80" i="3"/>
  <c r="J69" i="3"/>
  <c r="H84" i="3"/>
  <c r="J73" i="3"/>
  <c r="H88" i="3"/>
  <c r="J77" i="3"/>
  <c r="H92" i="3"/>
  <c r="J81" i="3"/>
  <c r="I52" i="3"/>
  <c r="I53" i="3"/>
  <c r="H52" i="3"/>
  <c r="H53" i="3"/>
  <c r="C87" i="3"/>
  <c r="C99" i="3"/>
  <c r="C111" i="3"/>
  <c r="C123" i="3"/>
  <c r="C135" i="3"/>
  <c r="C151" i="3"/>
  <c r="B83" i="3"/>
  <c r="B95" i="3"/>
  <c r="B107" i="3"/>
  <c r="B119" i="3"/>
  <c r="B131" i="3"/>
  <c r="B143" i="3"/>
  <c r="B155" i="3"/>
  <c r="C86" i="3"/>
  <c r="C90" i="3"/>
  <c r="C94" i="3"/>
  <c r="C98" i="3"/>
  <c r="C102" i="3"/>
  <c r="C106" i="3"/>
  <c r="C110" i="3"/>
  <c r="C114" i="3"/>
  <c r="C118" i="3"/>
  <c r="C122" i="3"/>
  <c r="C126" i="3"/>
  <c r="C130" i="3"/>
  <c r="C134" i="3"/>
  <c r="C138" i="3"/>
  <c r="C142" i="3"/>
  <c r="C146" i="3"/>
  <c r="C150" i="3"/>
  <c r="C154" i="3"/>
  <c r="C158" i="3"/>
  <c r="B86" i="3"/>
  <c r="B90" i="3"/>
  <c r="B94" i="3"/>
  <c r="B98" i="3"/>
  <c r="B102" i="3"/>
  <c r="B106" i="3"/>
  <c r="B110" i="3"/>
  <c r="B114" i="3"/>
  <c r="B118" i="3"/>
  <c r="B122" i="3"/>
  <c r="B126" i="3"/>
  <c r="B130" i="3"/>
  <c r="B134" i="3"/>
  <c r="B138" i="3"/>
  <c r="B142" i="3"/>
  <c r="B146" i="3"/>
  <c r="B150" i="3"/>
  <c r="B154" i="3"/>
  <c r="B158" i="3"/>
  <c r="C83" i="3"/>
  <c r="C95" i="3"/>
  <c r="C107" i="3"/>
  <c r="C119" i="3"/>
  <c r="C127" i="3"/>
  <c r="C139" i="3"/>
  <c r="C147" i="3"/>
  <c r="C159" i="3"/>
  <c r="B91" i="3"/>
  <c r="B103" i="3"/>
  <c r="B115" i="3"/>
  <c r="B123" i="3"/>
  <c r="B135" i="3"/>
  <c r="B147" i="3"/>
  <c r="B159" i="3"/>
  <c r="C84" i="3"/>
  <c r="C88" i="3"/>
  <c r="C92" i="3"/>
  <c r="C96" i="3"/>
  <c r="C100" i="3"/>
  <c r="C104" i="3"/>
  <c r="C108" i="3"/>
  <c r="C112" i="3"/>
  <c r="C116" i="3"/>
  <c r="C120" i="3"/>
  <c r="C124" i="3"/>
  <c r="C128" i="3"/>
  <c r="C132" i="3"/>
  <c r="C136" i="3"/>
  <c r="C140" i="3"/>
  <c r="C144" i="3"/>
  <c r="C148" i="3"/>
  <c r="C152" i="3"/>
  <c r="C156" i="3"/>
  <c r="C160" i="3"/>
  <c r="B84" i="3"/>
  <c r="B88" i="3"/>
  <c r="B92" i="3"/>
  <c r="B96" i="3"/>
  <c r="B100" i="3"/>
  <c r="B104" i="3"/>
  <c r="B108" i="3"/>
  <c r="B112" i="3"/>
  <c r="B116" i="3"/>
  <c r="B120" i="3"/>
  <c r="B124" i="3"/>
  <c r="B128" i="3"/>
  <c r="B132" i="3"/>
  <c r="B136" i="3"/>
  <c r="B140" i="3"/>
  <c r="B144" i="3"/>
  <c r="B148" i="3"/>
  <c r="B152" i="3"/>
  <c r="B156" i="3"/>
  <c r="B160" i="3"/>
  <c r="C91" i="3"/>
  <c r="C103" i="3"/>
  <c r="C115" i="3"/>
  <c r="C131" i="3"/>
  <c r="C143" i="3"/>
  <c r="C155" i="3"/>
  <c r="B87" i="3"/>
  <c r="B99" i="3"/>
  <c r="B111" i="3"/>
  <c r="B127" i="3"/>
  <c r="B139" i="3"/>
  <c r="B151" i="3"/>
  <c r="C85" i="3"/>
  <c r="C89" i="3"/>
  <c r="C93" i="3"/>
  <c r="C97" i="3"/>
  <c r="C101" i="3"/>
  <c r="C105" i="3"/>
  <c r="C109" i="3"/>
  <c r="C113" i="3"/>
  <c r="C117" i="3"/>
  <c r="C121" i="3"/>
  <c r="C125" i="3"/>
  <c r="C129" i="3"/>
  <c r="C133" i="3"/>
  <c r="C137" i="3"/>
  <c r="C141" i="3"/>
  <c r="C145" i="3"/>
  <c r="C149" i="3"/>
  <c r="C153" i="3"/>
  <c r="C157" i="3"/>
  <c r="C161" i="3"/>
  <c r="B85" i="3"/>
  <c r="B89" i="3"/>
  <c r="B93" i="3"/>
  <c r="B97" i="3"/>
  <c r="B101" i="3"/>
  <c r="B105" i="3"/>
  <c r="B109" i="3"/>
  <c r="B113" i="3"/>
  <c r="B117" i="3"/>
  <c r="B121" i="3"/>
  <c r="B125" i="3"/>
  <c r="B129" i="3"/>
  <c r="B133" i="3"/>
  <c r="B137" i="3"/>
  <c r="B141" i="3"/>
  <c r="B145" i="3"/>
  <c r="B149" i="3"/>
  <c r="B153" i="3"/>
  <c r="B157" i="3"/>
  <c r="B161" i="3"/>
  <c r="C82" i="3"/>
  <c r="B82" i="3"/>
  <c r="D274" i="3"/>
  <c r="H198" i="3"/>
  <c r="L118" i="3"/>
  <c r="B315" i="3"/>
  <c r="D277" i="3"/>
  <c r="B320" i="3"/>
  <c r="B316" i="3"/>
  <c r="B312" i="3"/>
  <c r="D281" i="3"/>
  <c r="B318" i="3"/>
  <c r="B314" i="3"/>
  <c r="D280" i="3"/>
  <c r="D276" i="3"/>
  <c r="D272" i="3"/>
  <c r="H200" i="3"/>
  <c r="H196" i="3"/>
  <c r="X8" i="3"/>
  <c r="T24" i="3"/>
  <c r="C26" i="7" s="1"/>
  <c r="P40" i="3"/>
  <c r="C35" i="9" s="1"/>
  <c r="L112" i="3"/>
  <c r="L116" i="3"/>
  <c r="L120" i="3"/>
  <c r="B321" i="3"/>
  <c r="B317" i="3"/>
  <c r="B313" i="3"/>
  <c r="D279" i="3"/>
  <c r="D275" i="3"/>
  <c r="H199" i="3"/>
  <c r="H195" i="3"/>
  <c r="X9" i="3"/>
  <c r="T25" i="3"/>
  <c r="C22" i="7" s="1"/>
  <c r="P41" i="3"/>
  <c r="C42" i="9" s="1"/>
  <c r="L113" i="3"/>
  <c r="L117" i="3"/>
  <c r="L121" i="3"/>
  <c r="D278" i="3"/>
  <c r="H194" i="3"/>
  <c r="L114" i="3"/>
  <c r="B319" i="3"/>
  <c r="D273" i="3"/>
  <c r="H201" i="3"/>
  <c r="H197" i="3"/>
  <c r="L115" i="3"/>
  <c r="H193" i="3"/>
  <c r="L119" i="3"/>
  <c r="C313" i="3"/>
  <c r="E279" i="3"/>
  <c r="E275" i="3"/>
  <c r="I199" i="3"/>
  <c r="U25" i="3"/>
  <c r="D22" i="7" s="1"/>
  <c r="M117" i="3"/>
  <c r="C320" i="3"/>
  <c r="E278" i="3"/>
  <c r="I198" i="3"/>
  <c r="M118" i="3"/>
  <c r="C312" i="3"/>
  <c r="I194" i="3"/>
  <c r="M114" i="3"/>
  <c r="C318" i="3"/>
  <c r="C314" i="3"/>
  <c r="E280" i="3"/>
  <c r="E276" i="3"/>
  <c r="E272" i="3"/>
  <c r="I200" i="3"/>
  <c r="I196" i="3"/>
  <c r="Y8" i="3"/>
  <c r="U24" i="3"/>
  <c r="D26" i="7" s="1"/>
  <c r="Q40" i="3"/>
  <c r="D35" i="9" s="1"/>
  <c r="M112" i="3"/>
  <c r="M116" i="3"/>
  <c r="M120" i="3"/>
  <c r="C321" i="3"/>
  <c r="C317" i="3"/>
  <c r="I195" i="3"/>
  <c r="Y9" i="3"/>
  <c r="Q41" i="3"/>
  <c r="D42" i="9" s="1"/>
  <c r="M113" i="3"/>
  <c r="M121" i="3"/>
  <c r="C316" i="3"/>
  <c r="E274" i="3"/>
  <c r="E281" i="3"/>
  <c r="E277" i="3"/>
  <c r="I201" i="3"/>
  <c r="C319" i="3"/>
  <c r="E273" i="3"/>
  <c r="I197" i="3"/>
  <c r="M115" i="3"/>
  <c r="C315" i="3"/>
  <c r="I193" i="3"/>
  <c r="M119" i="3"/>
  <c r="C240" i="3"/>
  <c r="Q33" i="7" l="1"/>
  <c r="R3" i="6"/>
  <c r="R27" i="6"/>
  <c r="D25" i="6" s="1"/>
  <c r="AH4" i="6"/>
  <c r="R4" i="6"/>
  <c r="Q4" i="6"/>
  <c r="R20" i="6"/>
  <c r="R26" i="6"/>
  <c r="C25" i="6" s="1"/>
  <c r="Q5" i="6"/>
  <c r="Q21" i="23"/>
  <c r="S20" i="6"/>
  <c r="D11" i="6"/>
  <c r="V23" i="23"/>
  <c r="E23" i="23" s="1"/>
  <c r="D10" i="6"/>
  <c r="U27" i="6" s="1"/>
  <c r="D28" i="6" s="1"/>
  <c r="U23" i="23"/>
  <c r="E22" i="23" s="1"/>
  <c r="S5" i="6"/>
  <c r="C11" i="6"/>
  <c r="C10" i="6"/>
  <c r="U26" i="6" s="1"/>
  <c r="C28" i="6" s="1"/>
  <c r="U6" i="23"/>
  <c r="S3" i="6"/>
  <c r="D9" i="6"/>
  <c r="W23" i="23"/>
  <c r="E24" i="23" s="1"/>
  <c r="T20" i="6"/>
  <c r="R5" i="6"/>
  <c r="S4" i="6"/>
  <c r="AH5" i="6"/>
  <c r="T4" i="6"/>
  <c r="S6" i="6"/>
  <c r="Q6" i="6"/>
  <c r="C9" i="6"/>
  <c r="T26" i="6" s="1"/>
  <c r="C27" i="6" s="1"/>
  <c r="W5" i="23"/>
  <c r="T27" i="6"/>
  <c r="D27" i="6" s="1"/>
  <c r="AH6" i="6"/>
  <c r="S4" i="23"/>
  <c r="Q5" i="23"/>
  <c r="S16" i="23"/>
  <c r="S5" i="23"/>
  <c r="R5" i="23"/>
  <c r="AD5" i="23"/>
  <c r="S22" i="23"/>
  <c r="D20" i="23" s="1"/>
  <c r="S3" i="23"/>
  <c r="T5" i="6"/>
  <c r="T6" i="6"/>
  <c r="R6" i="6"/>
  <c r="T3" i="6"/>
  <c r="T4" i="23"/>
  <c r="T5" i="23"/>
  <c r="T6" i="23"/>
  <c r="Q6" i="23"/>
  <c r="S6" i="23"/>
  <c r="T16" i="23"/>
  <c r="R6" i="23"/>
  <c r="AD6" i="23"/>
  <c r="T3" i="23"/>
  <c r="T22" i="23"/>
  <c r="D21" i="23" s="1"/>
  <c r="Y11" i="8"/>
  <c r="W5" i="7"/>
  <c r="Y4" i="8"/>
  <c r="V11" i="8"/>
  <c r="Y9" i="8"/>
  <c r="S11" i="8"/>
  <c r="Y5" i="8"/>
  <c r="Q11" i="8"/>
  <c r="Y36" i="8"/>
  <c r="Y3" i="8"/>
  <c r="U11" i="8"/>
  <c r="Y8" i="8"/>
  <c r="AX11" i="8"/>
  <c r="R11" i="8"/>
  <c r="Y7" i="8"/>
  <c r="T11" i="8"/>
  <c r="Y6" i="8"/>
  <c r="W11" i="8"/>
  <c r="W28" i="7"/>
  <c r="S9" i="7"/>
  <c r="W7" i="7"/>
  <c r="AP9" i="7"/>
  <c r="W9" i="7"/>
  <c r="W6" i="7"/>
  <c r="W4" i="7"/>
  <c r="Q9" i="7"/>
  <c r="U9" i="7"/>
  <c r="T9" i="7"/>
  <c r="W3" i="7"/>
  <c r="R9" i="7"/>
  <c r="X13" i="9"/>
  <c r="V13" i="9"/>
  <c r="BF13" i="9"/>
  <c r="AA9" i="9"/>
  <c r="AA4" i="9"/>
  <c r="AA6" i="9"/>
  <c r="T13" i="9"/>
  <c r="W13" i="9"/>
  <c r="U13" i="9"/>
  <c r="AA8" i="9"/>
  <c r="AA10" i="9"/>
  <c r="AA13" i="9"/>
  <c r="Y13" i="9"/>
  <c r="Q13" i="9"/>
  <c r="S13" i="9"/>
  <c r="R13" i="9"/>
  <c r="AA3" i="9"/>
  <c r="AA11" i="9"/>
  <c r="AA5" i="9"/>
  <c r="AA7" i="9"/>
  <c r="AA44" i="9"/>
  <c r="D32" i="5"/>
  <c r="O32" i="5" s="1"/>
  <c r="W34" i="7"/>
  <c r="B38" i="7" s="1"/>
  <c r="U7" i="6"/>
  <c r="U4" i="6"/>
  <c r="S7" i="6"/>
  <c r="X10" i="8"/>
  <c r="Z10" i="9"/>
  <c r="S12" i="9"/>
  <c r="V12" i="9"/>
  <c r="Z3" i="9"/>
  <c r="Z8" i="9"/>
  <c r="X12" i="9"/>
  <c r="BF12" i="9"/>
  <c r="W12" i="9"/>
  <c r="Z11" i="9"/>
  <c r="Z7" i="9"/>
  <c r="Z44" i="9"/>
  <c r="T12" i="9"/>
  <c r="R12" i="9"/>
  <c r="U12" i="9"/>
  <c r="Z9" i="9"/>
  <c r="Z6" i="9"/>
  <c r="Z5" i="9"/>
  <c r="AA12" i="9"/>
  <c r="Q12" i="9"/>
  <c r="Y12" i="9"/>
  <c r="Z12" i="9"/>
  <c r="Z13" i="9"/>
  <c r="T10" i="8"/>
  <c r="X9" i="8"/>
  <c r="X8" i="8"/>
  <c r="X3" i="8"/>
  <c r="X36" i="8"/>
  <c r="Y10" i="8"/>
  <c r="W10" i="8"/>
  <c r="X6" i="8"/>
  <c r="Q10" i="8"/>
  <c r="AX10" i="8"/>
  <c r="R10" i="8"/>
  <c r="S10" i="8"/>
  <c r="X5" i="8"/>
  <c r="X11" i="8"/>
  <c r="X4" i="8"/>
  <c r="X7" i="8"/>
  <c r="V10" i="8"/>
  <c r="U10" i="8"/>
  <c r="V9" i="7"/>
  <c r="AP8" i="7"/>
  <c r="Q8" i="7"/>
  <c r="V5" i="7"/>
  <c r="V4" i="7"/>
  <c r="V7" i="7"/>
  <c r="U33" i="7" s="1"/>
  <c r="S8" i="7"/>
  <c r="V28" i="7"/>
  <c r="T8" i="7"/>
  <c r="V6" i="7"/>
  <c r="V3" i="7"/>
  <c r="U8" i="7"/>
  <c r="W8" i="7"/>
  <c r="V33" i="7" s="1"/>
  <c r="R8" i="7"/>
  <c r="V8" i="7"/>
  <c r="Q7" i="6"/>
  <c r="T7" i="6"/>
  <c r="R7" i="6"/>
  <c r="U3" i="6"/>
  <c r="AH7" i="6"/>
  <c r="U5" i="6"/>
  <c r="U6" i="6"/>
  <c r="U20" i="6"/>
  <c r="AJ44" i="9"/>
  <c r="AJ5" i="9"/>
  <c r="U22" i="9"/>
  <c r="AJ3" i="9"/>
  <c r="Z22" i="9"/>
  <c r="AA22" i="9"/>
  <c r="Y22" i="9"/>
  <c r="T22" i="9"/>
  <c r="AJ10" i="9"/>
  <c r="AJ12" i="9"/>
  <c r="AJ11" i="9"/>
  <c r="AJ6" i="9"/>
  <c r="S22" i="9"/>
  <c r="Q22" i="9"/>
  <c r="V22" i="9"/>
  <c r="AJ8" i="9"/>
  <c r="X22" i="9"/>
  <c r="AJ13" i="9"/>
  <c r="AJ9" i="9"/>
  <c r="W22" i="9"/>
  <c r="AJ4" i="9"/>
  <c r="R22" i="9"/>
  <c r="AJ7" i="9"/>
  <c r="BF22" i="9"/>
  <c r="AJ22" i="9"/>
  <c r="Q14" i="7"/>
  <c r="AB9" i="7"/>
  <c r="V14" i="7"/>
  <c r="AB5" i="7"/>
  <c r="AP14" i="7"/>
  <c r="AB7" i="7"/>
  <c r="R14" i="7"/>
  <c r="AB3" i="7"/>
  <c r="W14" i="7"/>
  <c r="U14" i="7"/>
  <c r="AB8" i="7"/>
  <c r="AB14" i="7"/>
  <c r="S14" i="7"/>
  <c r="AB6" i="7"/>
  <c r="T14" i="7"/>
  <c r="AB4" i="7"/>
  <c r="AB28" i="7"/>
  <c r="U17" i="8"/>
  <c r="Q49" i="9"/>
  <c r="AB34" i="7"/>
  <c r="B43" i="7" s="1"/>
  <c r="AA35" i="7"/>
  <c r="C42" i="7" s="1"/>
  <c r="V50" i="9"/>
  <c r="R49" i="9"/>
  <c r="T49" i="9"/>
  <c r="S26" i="6"/>
  <c r="C26" i="6" s="1"/>
  <c r="S27" i="6"/>
  <c r="D26" i="6" s="1"/>
  <c r="S49" i="9"/>
  <c r="AE22" i="9"/>
  <c r="AF6" i="8"/>
  <c r="AD5" i="8"/>
  <c r="Z8" i="8"/>
  <c r="AD15" i="8"/>
  <c r="AC15" i="8"/>
  <c r="AC36" i="8"/>
  <c r="Q15" i="8"/>
  <c r="AB15" i="8"/>
  <c r="AA15" i="8"/>
  <c r="AE15" i="8"/>
  <c r="AF15" i="8"/>
  <c r="AC10" i="8"/>
  <c r="Y15" i="8"/>
  <c r="X15" i="8"/>
  <c r="AC11" i="8"/>
  <c r="AA14" i="8"/>
  <c r="AD14" i="8"/>
  <c r="AC14" i="8"/>
  <c r="AE14" i="8"/>
  <c r="Q14" i="8"/>
  <c r="AB36" i="8"/>
  <c r="AF14" i="8"/>
  <c r="AB14" i="8"/>
  <c r="AB11" i="8"/>
  <c r="Y14" i="8"/>
  <c r="X14" i="8"/>
  <c r="AB10" i="8"/>
  <c r="AB13" i="8"/>
  <c r="AD13" i="8"/>
  <c r="AA13" i="8"/>
  <c r="AC13" i="8"/>
  <c r="AD3" i="8"/>
  <c r="AH3" i="8"/>
  <c r="AL3" i="8"/>
  <c r="AA36" i="8"/>
  <c r="AE3" i="8"/>
  <c r="AI3" i="8"/>
  <c r="AM3" i="8"/>
  <c r="AF13" i="8"/>
  <c r="AC3" i="8"/>
  <c r="AK3" i="8"/>
  <c r="AF3" i="8"/>
  <c r="AN3" i="8"/>
  <c r="AG3" i="8"/>
  <c r="Q13" i="8"/>
  <c r="AE13" i="8"/>
  <c r="AB3" i="8"/>
  <c r="AJ3" i="8"/>
  <c r="AA10" i="8"/>
  <c r="X13" i="8"/>
  <c r="Y13" i="8"/>
  <c r="AA11" i="8"/>
  <c r="AA4" i="8"/>
  <c r="R13" i="8"/>
  <c r="W13" i="8"/>
  <c r="W17" i="8"/>
  <c r="W16" i="8"/>
  <c r="W18" i="8"/>
  <c r="AA9" i="8"/>
  <c r="U16" i="8"/>
  <c r="AE7" i="8"/>
  <c r="AD7" i="8"/>
  <c r="V16" i="8"/>
  <c r="V13" i="8"/>
  <c r="AC8" i="8"/>
  <c r="AF8" i="8"/>
  <c r="AD8" i="8"/>
  <c r="AC5" i="8"/>
  <c r="AA5" i="8"/>
  <c r="AE5" i="8"/>
  <c r="T13" i="8"/>
  <c r="T16" i="8"/>
  <c r="T15" i="8"/>
  <c r="AE6" i="8"/>
  <c r="T14" i="8"/>
  <c r="AB6" i="8"/>
  <c r="AE44" i="9"/>
  <c r="AD44" i="9"/>
  <c r="AC44" i="9"/>
  <c r="AE4" i="8"/>
  <c r="R18" i="8"/>
  <c r="AB4" i="8"/>
  <c r="AD4" i="8"/>
  <c r="W15" i="8"/>
  <c r="W14" i="8"/>
  <c r="AD9" i="8"/>
  <c r="AA7" i="8"/>
  <c r="AC7" i="8"/>
  <c r="AB7" i="8"/>
  <c r="V18" i="8"/>
  <c r="AB8" i="8"/>
  <c r="S15" i="8"/>
  <c r="S18" i="8"/>
  <c r="AA18" i="8"/>
  <c r="AD18" i="8"/>
  <c r="AF36" i="8"/>
  <c r="AB18" i="8"/>
  <c r="AC18" i="8"/>
  <c r="Q18" i="8"/>
  <c r="AE18" i="8"/>
  <c r="AF18" i="8"/>
  <c r="Y18" i="8"/>
  <c r="AF10" i="8"/>
  <c r="X18" i="8"/>
  <c r="AF11" i="8"/>
  <c r="AE36" i="8"/>
  <c r="AB17" i="8"/>
  <c r="AD17" i="8"/>
  <c r="AA17" i="8"/>
  <c r="AE17" i="8"/>
  <c r="AF17" i="8"/>
  <c r="AC17" i="8"/>
  <c r="Q17" i="8"/>
  <c r="X17" i="8"/>
  <c r="Y17" i="8"/>
  <c r="AE10" i="8"/>
  <c r="AE11" i="8"/>
  <c r="AD16" i="8"/>
  <c r="AD36" i="8"/>
  <c r="AB16" i="8"/>
  <c r="AC16" i="8"/>
  <c r="AE16" i="8"/>
  <c r="AF16" i="8"/>
  <c r="Q16" i="8"/>
  <c r="AA16" i="8"/>
  <c r="AD10" i="8"/>
  <c r="X16" i="8"/>
  <c r="AD11" i="8"/>
  <c r="Y16" i="8"/>
  <c r="R14" i="8"/>
  <c r="AC4" i="8"/>
  <c r="AC9" i="8"/>
  <c r="AB9" i="8"/>
  <c r="U18" i="8"/>
  <c r="AE8" i="8"/>
  <c r="V15" i="8"/>
  <c r="V14" i="8"/>
  <c r="S13" i="8"/>
  <c r="S17" i="8"/>
  <c r="S14" i="8"/>
  <c r="AB5" i="8"/>
  <c r="AD6" i="8"/>
  <c r="AI44" i="9"/>
  <c r="AH44" i="9"/>
  <c r="AG22" i="9"/>
  <c r="AG44" i="9"/>
  <c r="AF44" i="9"/>
  <c r="AF4" i="8"/>
  <c r="R17" i="8"/>
  <c r="R16" i="8"/>
  <c r="R15" i="8"/>
  <c r="AF9" i="8"/>
  <c r="AE9" i="8"/>
  <c r="U13" i="8"/>
  <c r="AF7" i="8"/>
  <c r="U15" i="8"/>
  <c r="U14" i="8"/>
  <c r="V17" i="8"/>
  <c r="AA8" i="8"/>
  <c r="S16" i="8"/>
  <c r="AF5" i="8"/>
  <c r="T17" i="8"/>
  <c r="T18" i="8"/>
  <c r="AC6" i="8"/>
  <c r="AA6" i="8"/>
  <c r="Z5" i="8"/>
  <c r="Z6" i="8"/>
  <c r="Z4" i="8"/>
  <c r="U12" i="8"/>
  <c r="Z7" i="8"/>
  <c r="AB44" i="9"/>
  <c r="R12" i="8"/>
  <c r="Z9" i="8"/>
  <c r="V12" i="8"/>
  <c r="AE12" i="8"/>
  <c r="Z13" i="8"/>
  <c r="Z17" i="8"/>
  <c r="Q12" i="8"/>
  <c r="AB12" i="8"/>
  <c r="Z18" i="8"/>
  <c r="AC12" i="8"/>
  <c r="Z15" i="8"/>
  <c r="AF12" i="8"/>
  <c r="AD12" i="8"/>
  <c r="Z12" i="8"/>
  <c r="Z16" i="8"/>
  <c r="Z36" i="8"/>
  <c r="AA12" i="8"/>
  <c r="Z14" i="8"/>
  <c r="X12" i="8"/>
  <c r="Z10" i="8"/>
  <c r="Z11" i="8"/>
  <c r="Y12" i="8"/>
  <c r="W12" i="8"/>
  <c r="S12" i="8"/>
  <c r="T12" i="8"/>
  <c r="D33" i="5"/>
  <c r="P32" i="5" s="1"/>
  <c r="AB35" i="7"/>
  <c r="C43" i="7" s="1"/>
  <c r="W35" i="7"/>
  <c r="C38" i="7" s="1"/>
  <c r="AF11" i="9"/>
  <c r="U14" i="9"/>
  <c r="AF17" i="9"/>
  <c r="BF17" i="9"/>
  <c r="AJ17" i="9"/>
  <c r="AE3" i="9"/>
  <c r="AD17" i="9"/>
  <c r="AC17" i="9"/>
  <c r="AG17" i="9"/>
  <c r="AE17" i="9"/>
  <c r="AH17" i="9"/>
  <c r="Q17" i="9"/>
  <c r="AB17" i="9"/>
  <c r="AI17" i="9"/>
  <c r="AG16" i="9"/>
  <c r="AH16" i="9"/>
  <c r="AJ16" i="9"/>
  <c r="AE16" i="9"/>
  <c r="AD16" i="9"/>
  <c r="AD3" i="9"/>
  <c r="Q16" i="9"/>
  <c r="AI16" i="9"/>
  <c r="BF16" i="9"/>
  <c r="AB16" i="9"/>
  <c r="AC16" i="9"/>
  <c r="AF16" i="9"/>
  <c r="BF15" i="9"/>
  <c r="AG15" i="9"/>
  <c r="AB15" i="9"/>
  <c r="AD15" i="9"/>
  <c r="AF15" i="9"/>
  <c r="AH15" i="9"/>
  <c r="AJ15" i="9"/>
  <c r="AE15" i="9"/>
  <c r="AC15" i="9"/>
  <c r="Q15" i="9"/>
  <c r="AC3" i="9"/>
  <c r="AI15" i="9"/>
  <c r="V19" i="9"/>
  <c r="AI8" i="9"/>
  <c r="AG10" i="9"/>
  <c r="X14" i="9"/>
  <c r="AD10" i="9"/>
  <c r="AH10" i="9"/>
  <c r="Z16" i="9"/>
  <c r="Z14" i="9"/>
  <c r="Z15" i="9"/>
  <c r="AA14" i="9"/>
  <c r="AE13" i="9"/>
  <c r="AH13" i="9"/>
  <c r="AA18" i="9"/>
  <c r="W18" i="9"/>
  <c r="AH9" i="9"/>
  <c r="AG9" i="9"/>
  <c r="R20" i="9"/>
  <c r="AC4" i="9"/>
  <c r="R16" i="9"/>
  <c r="R17" i="9"/>
  <c r="R18" i="9"/>
  <c r="AE4" i="9"/>
  <c r="AI11" i="9"/>
  <c r="Y16" i="9"/>
  <c r="AG11" i="9"/>
  <c r="Y21" i="9"/>
  <c r="Y14" i="9"/>
  <c r="AD6" i="9"/>
  <c r="AB6" i="9"/>
  <c r="AH6" i="9"/>
  <c r="T18" i="9"/>
  <c r="AE6" i="9"/>
  <c r="T20" i="9"/>
  <c r="S15" i="9"/>
  <c r="AC5" i="9"/>
  <c r="AG5" i="9"/>
  <c r="U17" i="9"/>
  <c r="U15" i="9"/>
  <c r="AG7" i="9"/>
  <c r="AI7" i="9"/>
  <c r="AF22" i="9"/>
  <c r="AD14" i="9"/>
  <c r="AB3" i="9"/>
  <c r="AJ14" i="9"/>
  <c r="V49" i="9" s="1"/>
  <c r="AE14" i="9"/>
  <c r="AH14" i="9"/>
  <c r="Q14" i="9"/>
  <c r="AI14" i="9"/>
  <c r="AC14" i="9"/>
  <c r="AG14" i="9"/>
  <c r="AB14" i="9"/>
  <c r="BF14" i="9"/>
  <c r="AF14" i="9"/>
  <c r="AE8" i="9"/>
  <c r="AG8" i="9"/>
  <c r="V16" i="9"/>
  <c r="AH8" i="9"/>
  <c r="V14" i="9"/>
  <c r="X20" i="9"/>
  <c r="AC10" i="9"/>
  <c r="Z18" i="9"/>
  <c r="Z20" i="9"/>
  <c r="Z19" i="9"/>
  <c r="AI13" i="9"/>
  <c r="AD13" i="9"/>
  <c r="AF13" i="9"/>
  <c r="AA15" i="9"/>
  <c r="AA16" i="9"/>
  <c r="W15" i="9"/>
  <c r="AE9" i="9"/>
  <c r="W17" i="9"/>
  <c r="W16" i="9"/>
  <c r="W19" i="9"/>
  <c r="AD9" i="9"/>
  <c r="AH4" i="9"/>
  <c r="AI4" i="9"/>
  <c r="R14" i="9"/>
  <c r="AD4" i="9"/>
  <c r="R15" i="9"/>
  <c r="AF4" i="9"/>
  <c r="AH11" i="9"/>
  <c r="AB11" i="9"/>
  <c r="Y17" i="9"/>
  <c r="AD11" i="9"/>
  <c r="T16" i="9"/>
  <c r="T19" i="9"/>
  <c r="T17" i="9"/>
  <c r="T21" i="9"/>
  <c r="AI6" i="9"/>
  <c r="S21" i="9"/>
  <c r="S17" i="9"/>
  <c r="AC7" i="9"/>
  <c r="U21" i="9"/>
  <c r="U20" i="9"/>
  <c r="AE7" i="9"/>
  <c r="AH22" i="9"/>
  <c r="AC22" i="9"/>
  <c r="AD22" i="9"/>
  <c r="AF21" i="9"/>
  <c r="AJ21" i="9"/>
  <c r="AI21" i="9"/>
  <c r="AD21" i="9"/>
  <c r="AH21" i="9"/>
  <c r="BF21" i="9"/>
  <c r="AI3" i="9"/>
  <c r="AB21" i="9"/>
  <c r="Q21" i="9"/>
  <c r="AG21" i="9"/>
  <c r="AC21" i="9"/>
  <c r="AE21" i="9"/>
  <c r="Q19" i="9"/>
  <c r="AE19" i="9"/>
  <c r="BF19" i="9"/>
  <c r="AH19" i="9"/>
  <c r="AG19" i="9"/>
  <c r="AG3" i="9"/>
  <c r="AD19" i="9"/>
  <c r="AC19" i="9"/>
  <c r="AF19" i="9"/>
  <c r="AJ19" i="9"/>
  <c r="AB19" i="9"/>
  <c r="AI19" i="9"/>
  <c r="AG18" i="9"/>
  <c r="BF18" i="9"/>
  <c r="AH18" i="9"/>
  <c r="AD18" i="9"/>
  <c r="AB18" i="9"/>
  <c r="AE18" i="9"/>
  <c r="AF18" i="9"/>
  <c r="AI18" i="9"/>
  <c r="AC18" i="9"/>
  <c r="AF3" i="9"/>
  <c r="Q18" i="9"/>
  <c r="AJ18" i="9"/>
  <c r="V17" i="9"/>
  <c r="AD8" i="9"/>
  <c r="AC8" i="9"/>
  <c r="V15" i="9"/>
  <c r="AF10" i="9"/>
  <c r="X19" i="9"/>
  <c r="X16" i="9"/>
  <c r="X18" i="9"/>
  <c r="AB10" i="9"/>
  <c r="AI12" i="9"/>
  <c r="AG12" i="9"/>
  <c r="AE12" i="9"/>
  <c r="Z17" i="9"/>
  <c r="AC12" i="9"/>
  <c r="AF12" i="9"/>
  <c r="AA17" i="9"/>
  <c r="AC13" i="9"/>
  <c r="AG13" i="9"/>
  <c r="AB13" i="9"/>
  <c r="AI9" i="9"/>
  <c r="AF9" i="9"/>
  <c r="AC9" i="9"/>
  <c r="R19" i="9"/>
  <c r="AB4" i="9"/>
  <c r="Y15" i="9"/>
  <c r="AC11" i="9"/>
  <c r="Y18" i="9"/>
  <c r="T14" i="9"/>
  <c r="AG6" i="9"/>
  <c r="S14" i="9"/>
  <c r="S16" i="9"/>
  <c r="S20" i="9"/>
  <c r="AH5" i="9"/>
  <c r="S19" i="9"/>
  <c r="AF5" i="9"/>
  <c r="AI5" i="9"/>
  <c r="AD7" i="9"/>
  <c r="U19" i="9"/>
  <c r="U18" i="9"/>
  <c r="AF7" i="9"/>
  <c r="AH3" i="9"/>
  <c r="AB20" i="9"/>
  <c r="Q20" i="9"/>
  <c r="AJ20" i="9"/>
  <c r="AE20" i="9"/>
  <c r="AI20" i="9"/>
  <c r="AD20" i="9"/>
  <c r="AC20" i="9"/>
  <c r="AF20" i="9"/>
  <c r="AG20" i="9"/>
  <c r="AH20" i="9"/>
  <c r="BF20" i="9"/>
  <c r="V20" i="9"/>
  <c r="AF8" i="9"/>
  <c r="V21" i="9"/>
  <c r="AB8" i="9"/>
  <c r="V18" i="9"/>
  <c r="AI10" i="9"/>
  <c r="X15" i="9"/>
  <c r="X17" i="9"/>
  <c r="X21" i="9"/>
  <c r="AE10" i="9"/>
  <c r="AB12" i="9"/>
  <c r="U49" i="9" s="1"/>
  <c r="AH12" i="9"/>
  <c r="Z21" i="9"/>
  <c r="AD12" i="9"/>
  <c r="AA19" i="9"/>
  <c r="AA21" i="9"/>
  <c r="AA20" i="9"/>
  <c r="AG4" i="9"/>
  <c r="W20" i="9"/>
  <c r="W14" i="9"/>
  <c r="W21" i="9"/>
  <c r="AB9" i="9"/>
  <c r="R21" i="9"/>
  <c r="Y19" i="9"/>
  <c r="AE11" i="9"/>
  <c r="Y20" i="9"/>
  <c r="T15" i="9"/>
  <c r="AC6" i="9"/>
  <c r="AF6" i="9"/>
  <c r="S18" i="9"/>
  <c r="AD5" i="9"/>
  <c r="AB5" i="9"/>
  <c r="AE5" i="9"/>
  <c r="AH7" i="9"/>
  <c r="AB7" i="9"/>
  <c r="U16" i="9"/>
  <c r="AB22" i="9"/>
  <c r="AI22" i="9"/>
  <c r="X14" i="7"/>
  <c r="S10" i="7"/>
  <c r="W10" i="7"/>
  <c r="X9" i="7"/>
  <c r="W33" i="7" s="1"/>
  <c r="X4" i="7"/>
  <c r="Y7" i="7"/>
  <c r="AA8" i="7"/>
  <c r="T11" i="7"/>
  <c r="Y6" i="7"/>
  <c r="Y4" i="7"/>
  <c r="AX17" i="8"/>
  <c r="AX16" i="8"/>
  <c r="AB10" i="7"/>
  <c r="Q10" i="7"/>
  <c r="Z10" i="7"/>
  <c r="X3" i="7"/>
  <c r="Y10" i="7"/>
  <c r="X33" i="7" s="1"/>
  <c r="AA10" i="7"/>
  <c r="AP10" i="7"/>
  <c r="X10" i="7"/>
  <c r="X28" i="7"/>
  <c r="U12" i="7"/>
  <c r="U13" i="7"/>
  <c r="Z7" i="7"/>
  <c r="V11" i="7"/>
  <c r="X6" i="7"/>
  <c r="T13" i="7"/>
  <c r="R12" i="7"/>
  <c r="Z14" i="7"/>
  <c r="AX12" i="8"/>
  <c r="Z3" i="8"/>
  <c r="AA34" i="7"/>
  <c r="B42" i="7" s="1"/>
  <c r="AA3" i="7"/>
  <c r="AB13" i="7"/>
  <c r="AA33" i="7" s="1"/>
  <c r="Z13" i="7"/>
  <c r="Y13" i="7"/>
  <c r="X13" i="7"/>
  <c r="Q13" i="7"/>
  <c r="AP13" i="7"/>
  <c r="AA13" i="7"/>
  <c r="AA28" i="7"/>
  <c r="AA12" i="7"/>
  <c r="Z33" i="7" s="1"/>
  <c r="AB12" i="7"/>
  <c r="Z12" i="7"/>
  <c r="Z3" i="7"/>
  <c r="Q12" i="7"/>
  <c r="X12" i="7"/>
  <c r="Y12" i="7"/>
  <c r="AP12" i="7"/>
  <c r="Z28" i="7"/>
  <c r="Y11" i="7"/>
  <c r="AB11" i="7"/>
  <c r="Z11" i="7"/>
  <c r="Y33" i="7" s="1"/>
  <c r="X11" i="7"/>
  <c r="AA11" i="7"/>
  <c r="Y3" i="7"/>
  <c r="Q11" i="7"/>
  <c r="AP11" i="7"/>
  <c r="Y28" i="7"/>
  <c r="W12" i="7"/>
  <c r="Y9" i="7"/>
  <c r="AA9" i="7"/>
  <c r="U10" i="7"/>
  <c r="V10" i="7"/>
  <c r="Z8" i="7"/>
  <c r="V12" i="7"/>
  <c r="X5" i="7"/>
  <c r="Y5" i="7"/>
  <c r="S12" i="7"/>
  <c r="T12" i="7"/>
  <c r="Z4" i="7"/>
  <c r="Y14" i="7"/>
  <c r="W13" i="7"/>
  <c r="W11" i="7"/>
  <c r="U11" i="7"/>
  <c r="Y8" i="7"/>
  <c r="Z5" i="7"/>
  <c r="AA5" i="7"/>
  <c r="AX18" i="8"/>
  <c r="S11" i="7"/>
  <c r="AA6" i="7"/>
  <c r="AX15" i="8"/>
  <c r="AX14" i="8"/>
  <c r="AA3" i="8"/>
  <c r="AX13" i="8"/>
  <c r="Z9" i="7"/>
  <c r="AA7" i="7"/>
  <c r="X7" i="7"/>
  <c r="V13" i="7"/>
  <c r="X8" i="7"/>
  <c r="S13" i="7"/>
  <c r="Z6" i="7"/>
  <c r="T10" i="7"/>
  <c r="AA4" i="7"/>
  <c r="R10" i="7"/>
  <c r="R13" i="7"/>
  <c r="R11" i="7"/>
  <c r="AA14" i="7"/>
  <c r="D4" i="5"/>
  <c r="D3" i="5"/>
  <c r="E5" i="5"/>
  <c r="L5" i="5"/>
  <c r="D5" i="5"/>
  <c r="C5" i="5"/>
  <c r="E3" i="5"/>
  <c r="E12" i="5"/>
  <c r="D12" i="5"/>
  <c r="E4" i="5"/>
  <c r="C4" i="5"/>
  <c r="L4" i="5"/>
  <c r="C24" i="5"/>
  <c r="D23" i="5"/>
  <c r="C21" i="5"/>
  <c r="F32" i="5" s="1"/>
  <c r="O34" i="5" s="1"/>
  <c r="D24" i="5"/>
  <c r="D25" i="5"/>
  <c r="C26" i="5"/>
  <c r="C23" i="5"/>
  <c r="D26" i="5"/>
  <c r="C25" i="5"/>
  <c r="D21" i="5"/>
  <c r="F33" i="5" s="1"/>
  <c r="P34" i="5" s="1"/>
  <c r="T22" i="3"/>
  <c r="C23" i="7" s="1"/>
  <c r="V16" i="3"/>
  <c r="U23" i="3"/>
  <c r="D27" i="7" s="1"/>
  <c r="W17" i="3"/>
  <c r="U22" i="3"/>
  <c r="D23" i="7" s="1"/>
  <c r="W16" i="3"/>
  <c r="T23" i="3"/>
  <c r="C27" i="7" s="1"/>
  <c r="V17" i="3"/>
  <c r="T21" i="3"/>
  <c r="C25" i="7" s="1"/>
  <c r="Z34" i="7" s="1"/>
  <c r="B41" i="7" s="1"/>
  <c r="V15" i="3"/>
  <c r="U21" i="3"/>
  <c r="D25" i="7" s="1"/>
  <c r="Z35" i="7" s="1"/>
  <c r="C41" i="7" s="1"/>
  <c r="W15" i="3"/>
  <c r="U20" i="3"/>
  <c r="D24" i="7" s="1"/>
  <c r="W14" i="3"/>
  <c r="D17" i="6" s="1"/>
  <c r="T20" i="3"/>
  <c r="C24" i="7" s="1"/>
  <c r="V14" i="3"/>
  <c r="C17" i="6" s="1"/>
  <c r="V11" i="3"/>
  <c r="V12" i="3"/>
  <c r="W12" i="3"/>
  <c r="V13" i="3"/>
  <c r="W11" i="3"/>
  <c r="W13" i="3"/>
  <c r="U14" i="3"/>
  <c r="D17" i="7" s="1"/>
  <c r="W10" i="3"/>
  <c r="D12" i="6" s="1"/>
  <c r="T14" i="3"/>
  <c r="C17" i="7" s="1"/>
  <c r="V10" i="3"/>
  <c r="C12" i="6" s="1"/>
  <c r="R21" i="3"/>
  <c r="C25" i="8" s="1"/>
  <c r="T17" i="3"/>
  <c r="C19" i="7" s="1"/>
  <c r="S23" i="3"/>
  <c r="D20" i="8" s="1"/>
  <c r="U19" i="3"/>
  <c r="D20" i="7" s="1"/>
  <c r="R23" i="3"/>
  <c r="C26" i="8" s="1"/>
  <c r="T19" i="3"/>
  <c r="C20" i="7" s="1"/>
  <c r="R19" i="3"/>
  <c r="C24" i="8" s="1"/>
  <c r="T15" i="3"/>
  <c r="C18" i="7" s="1"/>
  <c r="R20" i="3"/>
  <c r="C27" i="8" s="1"/>
  <c r="T16" i="3"/>
  <c r="C21" i="7" s="1"/>
  <c r="S22" i="3"/>
  <c r="D22" i="8" s="1"/>
  <c r="U18" i="3"/>
  <c r="D16" i="7" s="1"/>
  <c r="S19" i="3"/>
  <c r="D25" i="8" s="1"/>
  <c r="U15" i="3"/>
  <c r="D18" i="7" s="1"/>
  <c r="S20" i="3"/>
  <c r="D23" i="8" s="1"/>
  <c r="U16" i="3"/>
  <c r="D21" i="7" s="1"/>
  <c r="R22" i="3"/>
  <c r="C21" i="8" s="1"/>
  <c r="T18" i="3"/>
  <c r="C16" i="7" s="1"/>
  <c r="S21" i="3"/>
  <c r="D26" i="8" s="1"/>
  <c r="U17" i="3"/>
  <c r="D19" i="7" s="1"/>
  <c r="Q35" i="3"/>
  <c r="D43" i="9" s="1"/>
  <c r="S29" i="3"/>
  <c r="D35" i="8" s="1"/>
  <c r="Q36" i="3"/>
  <c r="D40" i="9" s="1"/>
  <c r="S30" i="3"/>
  <c r="D32" i="8" s="1"/>
  <c r="Q34" i="3"/>
  <c r="D37" i="9" s="1"/>
  <c r="S28" i="3"/>
  <c r="D28" i="8" s="1"/>
  <c r="Q37" i="3"/>
  <c r="D34" i="9" s="1"/>
  <c r="AD51" i="9" s="1"/>
  <c r="S31" i="3"/>
  <c r="D31" i="8" s="1"/>
  <c r="P39" i="3"/>
  <c r="C41" i="9" s="1"/>
  <c r="AC50" i="9" s="1"/>
  <c r="R33" i="3"/>
  <c r="C34" i="8" s="1"/>
  <c r="P35" i="3"/>
  <c r="C43" i="9" s="1"/>
  <c r="R29" i="3"/>
  <c r="C35" i="8" s="1"/>
  <c r="P37" i="3"/>
  <c r="C34" i="9" s="1"/>
  <c r="R31" i="3"/>
  <c r="C28" i="8" s="1"/>
  <c r="P34" i="3"/>
  <c r="C37" i="9" s="1"/>
  <c r="AA50" i="9" s="1"/>
  <c r="R28" i="3"/>
  <c r="C30" i="8" s="1"/>
  <c r="Q39" i="3"/>
  <c r="D41" i="9" s="1"/>
  <c r="AC51" i="9" s="1"/>
  <c r="S33" i="3"/>
  <c r="D29" i="8" s="1"/>
  <c r="Q38" i="3"/>
  <c r="D36" i="9" s="1"/>
  <c r="S32" i="3"/>
  <c r="D30" i="8" s="1"/>
  <c r="P38" i="3"/>
  <c r="C36" i="9" s="1"/>
  <c r="R32" i="3"/>
  <c r="C29" i="8" s="1"/>
  <c r="P33" i="3"/>
  <c r="C39" i="9" s="1"/>
  <c r="R27" i="3"/>
  <c r="C32" i="8" s="1"/>
  <c r="P36" i="3"/>
  <c r="C40" i="9" s="1"/>
  <c r="R30" i="3"/>
  <c r="C33" i="8" s="1"/>
  <c r="Q33" i="3"/>
  <c r="D39" i="9" s="1"/>
  <c r="Z51" i="9" s="1"/>
  <c r="S27" i="3"/>
  <c r="D33" i="8" s="1"/>
  <c r="Q32" i="3"/>
  <c r="D38" i="9" s="1"/>
  <c r="S26" i="3"/>
  <c r="D34" i="8" s="1"/>
  <c r="P32" i="3"/>
  <c r="C38" i="9" s="1"/>
  <c r="R26" i="3"/>
  <c r="C31" i="8" s="1"/>
  <c r="Q22" i="3"/>
  <c r="D28" i="9" s="1"/>
  <c r="S18" i="3"/>
  <c r="D21" i="8" s="1"/>
  <c r="P22" i="3"/>
  <c r="C28" i="9" s="1"/>
  <c r="R18" i="3"/>
  <c r="C22" i="8" s="1"/>
  <c r="N43" i="3"/>
  <c r="P23" i="3"/>
  <c r="C30" i="9" s="1"/>
  <c r="N51" i="3"/>
  <c r="P31" i="3"/>
  <c r="C26" i="9" s="1"/>
  <c r="N44" i="3"/>
  <c r="P24" i="3"/>
  <c r="C33" i="9" s="1"/>
  <c r="O46" i="3"/>
  <c r="Q26" i="3"/>
  <c r="D25" i="9" s="1"/>
  <c r="O50" i="3"/>
  <c r="Q30" i="3"/>
  <c r="D27" i="9" s="1"/>
  <c r="N45" i="3"/>
  <c r="P25" i="3"/>
  <c r="C31" i="9" s="1"/>
  <c r="N46" i="3"/>
  <c r="P26" i="3"/>
  <c r="C25" i="9" s="1"/>
  <c r="O43" i="3"/>
  <c r="Q23" i="3"/>
  <c r="D30" i="9" s="1"/>
  <c r="O47" i="3"/>
  <c r="Q27" i="3"/>
  <c r="D32" i="9" s="1"/>
  <c r="O51" i="3"/>
  <c r="Q31" i="3"/>
  <c r="D26" i="9" s="1"/>
  <c r="N48" i="3"/>
  <c r="P28" i="3"/>
  <c r="C24" i="9" s="1"/>
  <c r="O44" i="3"/>
  <c r="Q24" i="3"/>
  <c r="D33" i="9" s="1"/>
  <c r="O48" i="3"/>
  <c r="Q28" i="3"/>
  <c r="D24" i="9" s="1"/>
  <c r="N47" i="3"/>
  <c r="P27" i="3"/>
  <c r="C32" i="9" s="1"/>
  <c r="N49" i="3"/>
  <c r="P29" i="3"/>
  <c r="C29" i="9" s="1"/>
  <c r="N50" i="3"/>
  <c r="P30" i="3"/>
  <c r="C27" i="9" s="1"/>
  <c r="O45" i="3"/>
  <c r="Q25" i="3"/>
  <c r="D31" i="9" s="1"/>
  <c r="O49" i="3"/>
  <c r="Q29" i="3"/>
  <c r="D29" i="9" s="1"/>
  <c r="M109" i="3"/>
  <c r="O79" i="3"/>
  <c r="M108" i="3"/>
  <c r="O78" i="3"/>
  <c r="L103" i="3"/>
  <c r="N73" i="3"/>
  <c r="L100" i="3"/>
  <c r="N70" i="3"/>
  <c r="M95" i="3"/>
  <c r="O65" i="3"/>
  <c r="M107" i="3"/>
  <c r="O77" i="3"/>
  <c r="M96" i="3"/>
  <c r="O66" i="3"/>
  <c r="M94" i="3"/>
  <c r="O64" i="3"/>
  <c r="M97" i="3"/>
  <c r="O67" i="3"/>
  <c r="L99" i="3"/>
  <c r="N69" i="3"/>
  <c r="L95" i="3"/>
  <c r="N65" i="3"/>
  <c r="L101" i="3"/>
  <c r="N71" i="3"/>
  <c r="L104" i="3"/>
  <c r="N74" i="3"/>
  <c r="L106" i="3"/>
  <c r="N76" i="3"/>
  <c r="M103" i="3"/>
  <c r="O73" i="3"/>
  <c r="L97" i="3"/>
  <c r="N67" i="3"/>
  <c r="L110" i="3"/>
  <c r="N80" i="3"/>
  <c r="L94" i="3"/>
  <c r="N64" i="3"/>
  <c r="M99" i="3"/>
  <c r="O69" i="3"/>
  <c r="M98" i="3"/>
  <c r="O68" i="3"/>
  <c r="M101" i="3"/>
  <c r="O71" i="3"/>
  <c r="M104" i="3"/>
  <c r="O74" i="3"/>
  <c r="M102" i="3"/>
  <c r="O72" i="3"/>
  <c r="L98" i="3"/>
  <c r="N68" i="3"/>
  <c r="L109" i="3"/>
  <c r="N79" i="3"/>
  <c r="L93" i="3"/>
  <c r="N63" i="3"/>
  <c r="L96" i="3"/>
  <c r="N66" i="3"/>
  <c r="M110" i="3"/>
  <c r="O80" i="3"/>
  <c r="L102" i="3"/>
  <c r="N72" i="3"/>
  <c r="M111" i="3"/>
  <c r="O81" i="3"/>
  <c r="M93" i="3"/>
  <c r="O63" i="3"/>
  <c r="M100" i="3"/>
  <c r="O70" i="3"/>
  <c r="M106" i="3"/>
  <c r="O76" i="3"/>
  <c r="M105" i="3"/>
  <c r="O75" i="3"/>
  <c r="L111" i="3"/>
  <c r="N81" i="3"/>
  <c r="L107" i="3"/>
  <c r="N77" i="3"/>
  <c r="L105" i="3"/>
  <c r="N75" i="3"/>
  <c r="L108" i="3"/>
  <c r="N78" i="3"/>
  <c r="M92" i="3"/>
  <c r="O62" i="3"/>
  <c r="L92" i="3"/>
  <c r="N62" i="3"/>
  <c r="O42" i="3"/>
  <c r="N42" i="3"/>
  <c r="J101" i="3"/>
  <c r="L81" i="3"/>
  <c r="K103" i="3"/>
  <c r="M83" i="3"/>
  <c r="J111" i="3"/>
  <c r="L91" i="3"/>
  <c r="J105" i="3"/>
  <c r="L85" i="3"/>
  <c r="J106" i="3"/>
  <c r="L86" i="3"/>
  <c r="J107" i="3"/>
  <c r="L87" i="3"/>
  <c r="J108" i="3"/>
  <c r="L88" i="3"/>
  <c r="K102" i="3"/>
  <c r="M82" i="3"/>
  <c r="K106" i="3"/>
  <c r="M86" i="3"/>
  <c r="K110" i="3"/>
  <c r="M90" i="3"/>
  <c r="J109" i="3"/>
  <c r="L89" i="3"/>
  <c r="J102" i="3"/>
  <c r="L82" i="3"/>
  <c r="K107" i="3"/>
  <c r="M87" i="3"/>
  <c r="J104" i="3"/>
  <c r="L84" i="3"/>
  <c r="K104" i="3"/>
  <c r="M84" i="3"/>
  <c r="K108" i="3"/>
  <c r="M88" i="3"/>
  <c r="J110" i="3"/>
  <c r="L90" i="3"/>
  <c r="K111" i="3"/>
  <c r="M91" i="3"/>
  <c r="J103" i="3"/>
  <c r="L83" i="3"/>
  <c r="K101" i="3"/>
  <c r="M81" i="3"/>
  <c r="K105" i="3"/>
  <c r="M85" i="3"/>
  <c r="K109" i="3"/>
  <c r="M89" i="3"/>
  <c r="J85" i="3"/>
  <c r="L65" i="3"/>
  <c r="K83" i="3"/>
  <c r="M63" i="3"/>
  <c r="K95" i="3"/>
  <c r="M75" i="3"/>
  <c r="J87" i="3"/>
  <c r="L67" i="3"/>
  <c r="J95" i="3"/>
  <c r="L75" i="3"/>
  <c r="J88" i="3"/>
  <c r="L68" i="3"/>
  <c r="J89" i="3"/>
  <c r="L69" i="3"/>
  <c r="J90" i="3"/>
  <c r="L70" i="3"/>
  <c r="J83" i="3"/>
  <c r="L63" i="3"/>
  <c r="J91" i="3"/>
  <c r="L71" i="3"/>
  <c r="J99" i="3"/>
  <c r="L79" i="3"/>
  <c r="J84" i="3"/>
  <c r="L64" i="3"/>
  <c r="J92" i="3"/>
  <c r="L72" i="3"/>
  <c r="J100" i="3"/>
  <c r="L80" i="3"/>
  <c r="K86" i="3"/>
  <c r="M66" i="3"/>
  <c r="K90" i="3"/>
  <c r="M70" i="3"/>
  <c r="K94" i="3"/>
  <c r="M74" i="3"/>
  <c r="K98" i="3"/>
  <c r="M78" i="3"/>
  <c r="J93" i="3"/>
  <c r="L73" i="3"/>
  <c r="J86" i="3"/>
  <c r="L66" i="3"/>
  <c r="J94" i="3"/>
  <c r="L74" i="3"/>
  <c r="K91" i="3"/>
  <c r="M71" i="3"/>
  <c r="K99" i="3"/>
  <c r="M79" i="3"/>
  <c r="K84" i="3"/>
  <c r="M64" i="3"/>
  <c r="K88" i="3"/>
  <c r="M68" i="3"/>
  <c r="K92" i="3"/>
  <c r="M72" i="3"/>
  <c r="K96" i="3"/>
  <c r="M76" i="3"/>
  <c r="K100" i="3"/>
  <c r="M80" i="3"/>
  <c r="K87" i="3"/>
  <c r="M67" i="3"/>
  <c r="J96" i="3"/>
  <c r="L76" i="3"/>
  <c r="J97" i="3"/>
  <c r="L77" i="3"/>
  <c r="J98" i="3"/>
  <c r="L78" i="3"/>
  <c r="K85" i="3"/>
  <c r="M65" i="3"/>
  <c r="K89" i="3"/>
  <c r="M69" i="3"/>
  <c r="K93" i="3"/>
  <c r="M73" i="3"/>
  <c r="K97" i="3"/>
  <c r="M77" i="3"/>
  <c r="K82" i="3"/>
  <c r="M62" i="3"/>
  <c r="J82" i="3"/>
  <c r="L62" i="3"/>
  <c r="I184" i="3"/>
  <c r="K154" i="3"/>
  <c r="I191" i="3"/>
  <c r="K161" i="3"/>
  <c r="H162" i="3"/>
  <c r="J132" i="3"/>
  <c r="H173" i="3"/>
  <c r="J143" i="3"/>
  <c r="H176" i="3"/>
  <c r="J146" i="3"/>
  <c r="H170" i="3"/>
  <c r="J140" i="3"/>
  <c r="H154" i="3"/>
  <c r="J124" i="3"/>
  <c r="I179" i="3"/>
  <c r="K149" i="3"/>
  <c r="I155" i="3"/>
  <c r="K125" i="3"/>
  <c r="I167" i="3"/>
  <c r="K137" i="3"/>
  <c r="I182" i="3"/>
  <c r="K152" i="3"/>
  <c r="I173" i="3"/>
  <c r="K143" i="3"/>
  <c r="I188" i="3"/>
  <c r="K158" i="3"/>
  <c r="I172" i="3"/>
  <c r="K142" i="3"/>
  <c r="I156" i="3"/>
  <c r="K126" i="3"/>
  <c r="I186" i="3"/>
  <c r="K156" i="3"/>
  <c r="I154" i="3"/>
  <c r="K124" i="3"/>
  <c r="I157" i="3"/>
  <c r="K127" i="3"/>
  <c r="H179" i="3"/>
  <c r="J149" i="3"/>
  <c r="H159" i="3"/>
  <c r="J129" i="3"/>
  <c r="H155" i="3"/>
  <c r="J125" i="3"/>
  <c r="H189" i="3"/>
  <c r="J159" i="3"/>
  <c r="H174" i="3"/>
  <c r="J144" i="3"/>
  <c r="H177" i="3"/>
  <c r="J147" i="3"/>
  <c r="H161" i="3"/>
  <c r="J131" i="3"/>
  <c r="H180" i="3"/>
  <c r="J150" i="3"/>
  <c r="H164" i="3"/>
  <c r="J134" i="3"/>
  <c r="H192" i="3"/>
  <c r="J162" i="3"/>
  <c r="H186" i="3"/>
  <c r="J156" i="3"/>
  <c r="H166" i="3"/>
  <c r="J136" i="3"/>
  <c r="I163" i="3"/>
  <c r="K133" i="3"/>
  <c r="I170" i="3"/>
  <c r="K140" i="3"/>
  <c r="I174" i="3"/>
  <c r="K144" i="3"/>
  <c r="I185" i="3"/>
  <c r="K155" i="3"/>
  <c r="H163" i="3"/>
  <c r="J133" i="3"/>
  <c r="H157" i="3"/>
  <c r="J127" i="3"/>
  <c r="I159" i="3"/>
  <c r="K129" i="3"/>
  <c r="I187" i="3"/>
  <c r="K157" i="3"/>
  <c r="I158" i="3"/>
  <c r="K128" i="3"/>
  <c r="I161" i="3"/>
  <c r="K131" i="3"/>
  <c r="I180" i="3"/>
  <c r="K150" i="3"/>
  <c r="I164" i="3"/>
  <c r="K134" i="3"/>
  <c r="I192" i="3"/>
  <c r="K162" i="3"/>
  <c r="I162" i="3"/>
  <c r="K132" i="3"/>
  <c r="I178" i="3"/>
  <c r="K148" i="3"/>
  <c r="I177" i="3"/>
  <c r="K147" i="3"/>
  <c r="H187" i="3"/>
  <c r="J157" i="3"/>
  <c r="H183" i="3"/>
  <c r="J153" i="3"/>
  <c r="H158" i="3"/>
  <c r="J128" i="3"/>
  <c r="H185" i="3"/>
  <c r="J155" i="3"/>
  <c r="H169" i="3"/>
  <c r="J139" i="3"/>
  <c r="H153" i="3"/>
  <c r="J123" i="3"/>
  <c r="H188" i="3"/>
  <c r="J158" i="3"/>
  <c r="H172" i="3"/>
  <c r="J142" i="3"/>
  <c r="H156" i="3"/>
  <c r="J126" i="3"/>
  <c r="H190" i="3"/>
  <c r="J160" i="3"/>
  <c r="I175" i="3"/>
  <c r="K145" i="3"/>
  <c r="I189" i="3"/>
  <c r="K159" i="3"/>
  <c r="I169" i="3"/>
  <c r="K139" i="3"/>
  <c r="I168" i="3"/>
  <c r="K138" i="3"/>
  <c r="H160" i="3"/>
  <c r="J130" i="3"/>
  <c r="I171" i="3"/>
  <c r="K141" i="3"/>
  <c r="I183" i="3"/>
  <c r="K153" i="3"/>
  <c r="I190" i="3"/>
  <c r="K160" i="3"/>
  <c r="I181" i="3"/>
  <c r="K151" i="3"/>
  <c r="I153" i="3"/>
  <c r="K123" i="3"/>
  <c r="I176" i="3"/>
  <c r="K146" i="3"/>
  <c r="I160" i="3"/>
  <c r="K130" i="3"/>
  <c r="I166" i="3"/>
  <c r="K136" i="3"/>
  <c r="I165" i="3"/>
  <c r="K135" i="3"/>
  <c r="H175" i="3"/>
  <c r="J145" i="3"/>
  <c r="H171" i="3"/>
  <c r="J141" i="3"/>
  <c r="H167" i="3"/>
  <c r="J137" i="3"/>
  <c r="H182" i="3"/>
  <c r="J152" i="3"/>
  <c r="H181" i="3"/>
  <c r="J151" i="3"/>
  <c r="H165" i="3"/>
  <c r="J135" i="3"/>
  <c r="H191" i="3"/>
  <c r="J161" i="3"/>
  <c r="H184" i="3"/>
  <c r="J154" i="3"/>
  <c r="H168" i="3"/>
  <c r="J138" i="3"/>
  <c r="H178" i="3"/>
  <c r="J148" i="3"/>
  <c r="I152" i="3"/>
  <c r="K122" i="3"/>
  <c r="H152" i="3"/>
  <c r="J122" i="3"/>
  <c r="F133" i="3"/>
  <c r="H113" i="3"/>
  <c r="F149" i="3"/>
  <c r="H129" i="3"/>
  <c r="F134" i="3"/>
  <c r="H114" i="3"/>
  <c r="F150" i="3"/>
  <c r="H130" i="3"/>
  <c r="F159" i="3"/>
  <c r="H139" i="3"/>
  <c r="F171" i="3"/>
  <c r="H151" i="3"/>
  <c r="G127" i="3"/>
  <c r="I107" i="3"/>
  <c r="G135" i="3"/>
  <c r="I115" i="3"/>
  <c r="G143" i="3"/>
  <c r="I123" i="3"/>
  <c r="G151" i="3"/>
  <c r="I131" i="3"/>
  <c r="G159" i="3"/>
  <c r="I139" i="3"/>
  <c r="G167" i="3"/>
  <c r="I147" i="3"/>
  <c r="F135" i="3"/>
  <c r="H115" i="3"/>
  <c r="F151" i="3"/>
  <c r="H131" i="3"/>
  <c r="F136" i="3"/>
  <c r="H116" i="3"/>
  <c r="F152" i="3"/>
  <c r="H132" i="3"/>
  <c r="F160" i="3"/>
  <c r="H140" i="3"/>
  <c r="F168" i="3"/>
  <c r="H148" i="3"/>
  <c r="G124" i="3"/>
  <c r="I104" i="3"/>
  <c r="G136" i="3"/>
  <c r="I116" i="3"/>
  <c r="G144" i="3"/>
  <c r="I124" i="3"/>
  <c r="G152" i="3"/>
  <c r="I132" i="3"/>
  <c r="G160" i="3"/>
  <c r="I140" i="3"/>
  <c r="F137" i="3"/>
  <c r="H117" i="3"/>
  <c r="F145" i="3"/>
  <c r="H125" i="3"/>
  <c r="F130" i="3"/>
  <c r="H110" i="3"/>
  <c r="F146" i="3"/>
  <c r="H126" i="3"/>
  <c r="F155" i="3"/>
  <c r="H135" i="3"/>
  <c r="F161" i="3"/>
  <c r="H141" i="3"/>
  <c r="F123" i="3"/>
  <c r="H103" i="3"/>
  <c r="F131" i="3"/>
  <c r="H111" i="3"/>
  <c r="F139" i="3"/>
  <c r="H119" i="3"/>
  <c r="F147" i="3"/>
  <c r="H127" i="3"/>
  <c r="F124" i="3"/>
  <c r="H104" i="3"/>
  <c r="F132" i="3"/>
  <c r="H112" i="3"/>
  <c r="F140" i="3"/>
  <c r="H120" i="3"/>
  <c r="F148" i="3"/>
  <c r="H128" i="3"/>
  <c r="F153" i="3"/>
  <c r="H133" i="3"/>
  <c r="F158" i="3"/>
  <c r="H138" i="3"/>
  <c r="F162" i="3"/>
  <c r="H142" i="3"/>
  <c r="F166" i="3"/>
  <c r="H146" i="3"/>
  <c r="F170" i="3"/>
  <c r="H150" i="3"/>
  <c r="G126" i="3"/>
  <c r="I106" i="3"/>
  <c r="G130" i="3"/>
  <c r="I110" i="3"/>
  <c r="G134" i="3"/>
  <c r="I114" i="3"/>
  <c r="G138" i="3"/>
  <c r="I118" i="3"/>
  <c r="G142" i="3"/>
  <c r="I122" i="3"/>
  <c r="G146" i="3"/>
  <c r="I126" i="3"/>
  <c r="G150" i="3"/>
  <c r="I130" i="3"/>
  <c r="G154" i="3"/>
  <c r="I134" i="3"/>
  <c r="G158" i="3"/>
  <c r="I138" i="3"/>
  <c r="G162" i="3"/>
  <c r="I142" i="3"/>
  <c r="G166" i="3"/>
  <c r="I146" i="3"/>
  <c r="G170" i="3"/>
  <c r="I150" i="3"/>
  <c r="F125" i="3"/>
  <c r="H105" i="3"/>
  <c r="F141" i="3"/>
  <c r="H121" i="3"/>
  <c r="F126" i="3"/>
  <c r="H106" i="3"/>
  <c r="F142" i="3"/>
  <c r="H122" i="3"/>
  <c r="F154" i="3"/>
  <c r="H134" i="3"/>
  <c r="F163" i="3"/>
  <c r="H143" i="3"/>
  <c r="F167" i="3"/>
  <c r="H147" i="3"/>
  <c r="G123" i="3"/>
  <c r="I103" i="3"/>
  <c r="G131" i="3"/>
  <c r="I111" i="3"/>
  <c r="G139" i="3"/>
  <c r="I119" i="3"/>
  <c r="G147" i="3"/>
  <c r="I127" i="3"/>
  <c r="G155" i="3"/>
  <c r="I135" i="3"/>
  <c r="G163" i="3"/>
  <c r="I143" i="3"/>
  <c r="G171" i="3"/>
  <c r="I151" i="3"/>
  <c r="F127" i="3"/>
  <c r="H107" i="3"/>
  <c r="F143" i="3"/>
  <c r="H123" i="3"/>
  <c r="F128" i="3"/>
  <c r="H108" i="3"/>
  <c r="F144" i="3"/>
  <c r="H124" i="3"/>
  <c r="F156" i="3"/>
  <c r="H136" i="3"/>
  <c r="F164" i="3"/>
  <c r="H144" i="3"/>
  <c r="G128" i="3"/>
  <c r="I108" i="3"/>
  <c r="G132" i="3"/>
  <c r="I112" i="3"/>
  <c r="G140" i="3"/>
  <c r="I120" i="3"/>
  <c r="G148" i="3"/>
  <c r="I128" i="3"/>
  <c r="G156" i="3"/>
  <c r="I136" i="3"/>
  <c r="G164" i="3"/>
  <c r="I144" i="3"/>
  <c r="G168" i="3"/>
  <c r="I148" i="3"/>
  <c r="F129" i="3"/>
  <c r="H109" i="3"/>
  <c r="F138" i="3"/>
  <c r="H118" i="3"/>
  <c r="F157" i="3"/>
  <c r="H137" i="3"/>
  <c r="F165" i="3"/>
  <c r="H145" i="3"/>
  <c r="F169" i="3"/>
  <c r="H149" i="3"/>
  <c r="G125" i="3"/>
  <c r="I105" i="3"/>
  <c r="G129" i="3"/>
  <c r="I109" i="3"/>
  <c r="G133" i="3"/>
  <c r="I113" i="3"/>
  <c r="G137" i="3"/>
  <c r="I117" i="3"/>
  <c r="G141" i="3"/>
  <c r="I121" i="3"/>
  <c r="G145" i="3"/>
  <c r="I125" i="3"/>
  <c r="G149" i="3"/>
  <c r="I129" i="3"/>
  <c r="G153" i="3"/>
  <c r="I133" i="3"/>
  <c r="G157" i="3"/>
  <c r="I137" i="3"/>
  <c r="G161" i="3"/>
  <c r="I141" i="3"/>
  <c r="G165" i="3"/>
  <c r="I145" i="3"/>
  <c r="G169" i="3"/>
  <c r="I149" i="3"/>
  <c r="G122" i="3"/>
  <c r="I102" i="3"/>
  <c r="F122" i="3"/>
  <c r="H102" i="3"/>
  <c r="E223" i="3"/>
  <c r="G193" i="3"/>
  <c r="E261" i="3"/>
  <c r="G231" i="3"/>
  <c r="E230" i="3"/>
  <c r="G200" i="3"/>
  <c r="E263" i="3"/>
  <c r="G233" i="3"/>
  <c r="D261" i="3"/>
  <c r="F231" i="3"/>
  <c r="D222" i="3"/>
  <c r="F192" i="3"/>
  <c r="D217" i="3"/>
  <c r="F187" i="3"/>
  <c r="E239" i="3"/>
  <c r="G209" i="3"/>
  <c r="E215" i="3"/>
  <c r="G185" i="3"/>
  <c r="E227" i="3"/>
  <c r="G197" i="3"/>
  <c r="E242" i="3"/>
  <c r="G212" i="3"/>
  <c r="E262" i="3"/>
  <c r="G232" i="3"/>
  <c r="E233" i="3"/>
  <c r="G203" i="3"/>
  <c r="E255" i="3"/>
  <c r="G225" i="3"/>
  <c r="E248" i="3"/>
  <c r="G218" i="3"/>
  <c r="E232" i="3"/>
  <c r="G202" i="3"/>
  <c r="E216" i="3"/>
  <c r="G186" i="3"/>
  <c r="E260" i="3"/>
  <c r="G230" i="3"/>
  <c r="E246" i="3"/>
  <c r="G216" i="3"/>
  <c r="E270" i="3"/>
  <c r="G240" i="3"/>
  <c r="E214" i="3"/>
  <c r="G184" i="3"/>
  <c r="E217" i="3"/>
  <c r="G187" i="3"/>
  <c r="E271" i="3"/>
  <c r="G241" i="3"/>
  <c r="D239" i="3"/>
  <c r="F209" i="3"/>
  <c r="D219" i="3"/>
  <c r="F189" i="3"/>
  <c r="D215" i="3"/>
  <c r="F185" i="3"/>
  <c r="D249" i="3"/>
  <c r="F219" i="3"/>
  <c r="D234" i="3"/>
  <c r="F204" i="3"/>
  <c r="D266" i="3"/>
  <c r="F236" i="3"/>
  <c r="D237" i="3"/>
  <c r="F207" i="3"/>
  <c r="D221" i="3"/>
  <c r="F191" i="3"/>
  <c r="D255" i="3"/>
  <c r="F225" i="3"/>
  <c r="D271" i="3"/>
  <c r="F241" i="3"/>
  <c r="D240" i="3"/>
  <c r="F210" i="3"/>
  <c r="D224" i="3"/>
  <c r="F194" i="3"/>
  <c r="D252" i="3"/>
  <c r="F222" i="3"/>
  <c r="D268" i="3"/>
  <c r="F238" i="3"/>
  <c r="D246" i="3"/>
  <c r="F216" i="3"/>
  <c r="D270" i="3"/>
  <c r="F240" i="3"/>
  <c r="D269" i="3"/>
  <c r="F239" i="3"/>
  <c r="D226" i="3"/>
  <c r="F196" i="3"/>
  <c r="E249" i="3"/>
  <c r="G219" i="3"/>
  <c r="E229" i="3"/>
  <c r="G199" i="3"/>
  <c r="E228" i="3"/>
  <c r="G198" i="3"/>
  <c r="E258" i="3"/>
  <c r="G228" i="3"/>
  <c r="E251" i="3"/>
  <c r="G221" i="3"/>
  <c r="D257" i="3"/>
  <c r="F227" i="3"/>
  <c r="D220" i="3"/>
  <c r="F190" i="3"/>
  <c r="E253" i="3"/>
  <c r="G223" i="3"/>
  <c r="E219" i="3"/>
  <c r="G189" i="3"/>
  <c r="E247" i="3"/>
  <c r="G217" i="3"/>
  <c r="E265" i="3"/>
  <c r="G235" i="3"/>
  <c r="E218" i="3"/>
  <c r="G188" i="3"/>
  <c r="E221" i="3"/>
  <c r="G191" i="3"/>
  <c r="E240" i="3"/>
  <c r="G210" i="3"/>
  <c r="E224" i="3"/>
  <c r="G194" i="3"/>
  <c r="E252" i="3"/>
  <c r="G222" i="3"/>
  <c r="E268" i="3"/>
  <c r="G238" i="3"/>
  <c r="E222" i="3"/>
  <c r="G192" i="3"/>
  <c r="E238" i="3"/>
  <c r="G208" i="3"/>
  <c r="E266" i="3"/>
  <c r="G236" i="3"/>
  <c r="E237" i="3"/>
  <c r="G207" i="3"/>
  <c r="E259" i="3"/>
  <c r="G229" i="3"/>
  <c r="D253" i="3"/>
  <c r="F223" i="3"/>
  <c r="D247" i="3"/>
  <c r="F217" i="3"/>
  <c r="D243" i="3"/>
  <c r="F213" i="3"/>
  <c r="D218" i="3"/>
  <c r="F188" i="3"/>
  <c r="D245" i="3"/>
  <c r="F215" i="3"/>
  <c r="D229" i="3"/>
  <c r="F199" i="3"/>
  <c r="D213" i="3"/>
  <c r="F183" i="3"/>
  <c r="D263" i="3"/>
  <c r="F233" i="3"/>
  <c r="D248" i="3"/>
  <c r="F218" i="3"/>
  <c r="D232" i="3"/>
  <c r="F202" i="3"/>
  <c r="D216" i="3"/>
  <c r="F186" i="3"/>
  <c r="D260" i="3"/>
  <c r="F230" i="3"/>
  <c r="D265" i="3"/>
  <c r="F235" i="3"/>
  <c r="D250" i="3"/>
  <c r="F220" i="3"/>
  <c r="D258" i="3"/>
  <c r="F228" i="3"/>
  <c r="E235" i="3"/>
  <c r="G205" i="3"/>
  <c r="E244" i="3"/>
  <c r="G214" i="3"/>
  <c r="E264" i="3"/>
  <c r="G234" i="3"/>
  <c r="E234" i="3"/>
  <c r="G204" i="3"/>
  <c r="E245" i="3"/>
  <c r="G215" i="3"/>
  <c r="D223" i="3"/>
  <c r="F193" i="3"/>
  <c r="D233" i="3"/>
  <c r="F203" i="3"/>
  <c r="D259" i="3"/>
  <c r="F229" i="3"/>
  <c r="D236" i="3"/>
  <c r="F206" i="3"/>
  <c r="D256" i="3"/>
  <c r="F226" i="3"/>
  <c r="D230" i="3"/>
  <c r="F200" i="3"/>
  <c r="D214" i="3"/>
  <c r="F184" i="3"/>
  <c r="E269" i="3"/>
  <c r="G239" i="3"/>
  <c r="E257" i="3"/>
  <c r="G227" i="3"/>
  <c r="E231" i="3"/>
  <c r="G201" i="3"/>
  <c r="E243" i="3"/>
  <c r="G213" i="3"/>
  <c r="E250" i="3"/>
  <c r="G220" i="3"/>
  <c r="E241" i="3"/>
  <c r="G211" i="3"/>
  <c r="E213" i="3"/>
  <c r="G183" i="3"/>
  <c r="E236" i="3"/>
  <c r="G206" i="3"/>
  <c r="E220" i="3"/>
  <c r="G190" i="3"/>
  <c r="E256" i="3"/>
  <c r="G226" i="3"/>
  <c r="E254" i="3"/>
  <c r="G224" i="3"/>
  <c r="E226" i="3"/>
  <c r="G196" i="3"/>
  <c r="E225" i="3"/>
  <c r="G195" i="3"/>
  <c r="E267" i="3"/>
  <c r="G237" i="3"/>
  <c r="D235" i="3"/>
  <c r="F205" i="3"/>
  <c r="D231" i="3"/>
  <c r="F201" i="3"/>
  <c r="D227" i="3"/>
  <c r="F197" i="3"/>
  <c r="D242" i="3"/>
  <c r="F212" i="3"/>
  <c r="D254" i="3"/>
  <c r="F224" i="3"/>
  <c r="D241" i="3"/>
  <c r="F211" i="3"/>
  <c r="D225" i="3"/>
  <c r="F195" i="3"/>
  <c r="D251" i="3"/>
  <c r="F221" i="3"/>
  <c r="D267" i="3"/>
  <c r="F237" i="3"/>
  <c r="D244" i="3"/>
  <c r="F214" i="3"/>
  <c r="D228" i="3"/>
  <c r="F198" i="3"/>
  <c r="D264" i="3"/>
  <c r="F234" i="3"/>
  <c r="D262" i="3"/>
  <c r="F232" i="3"/>
  <c r="D238" i="3"/>
  <c r="F208" i="3"/>
  <c r="E212" i="3"/>
  <c r="G182" i="3"/>
  <c r="D212" i="3"/>
  <c r="F182" i="3"/>
  <c r="C287" i="3"/>
  <c r="C311" i="3"/>
  <c r="C271" i="3"/>
  <c r="C243" i="3"/>
  <c r="C266" i="3"/>
  <c r="C286" i="3"/>
  <c r="C302" i="3"/>
  <c r="C284" i="3"/>
  <c r="C308" i="3"/>
  <c r="C297" i="3"/>
  <c r="B272" i="3"/>
  <c r="C263" i="3"/>
  <c r="C285" i="3"/>
  <c r="C278" i="3"/>
  <c r="C262" i="3"/>
  <c r="C246" i="3"/>
  <c r="C290" i="3"/>
  <c r="C306" i="3"/>
  <c r="C276" i="3"/>
  <c r="C300" i="3"/>
  <c r="C244" i="3"/>
  <c r="C247" i="3"/>
  <c r="C301" i="3"/>
  <c r="B269" i="3"/>
  <c r="B249" i="3"/>
  <c r="B245" i="3"/>
  <c r="B279" i="3"/>
  <c r="B264" i="3"/>
  <c r="B296" i="3"/>
  <c r="B267" i="3"/>
  <c r="B251" i="3"/>
  <c r="B285" i="3"/>
  <c r="B301" i="3"/>
  <c r="B270" i="3"/>
  <c r="B254" i="3"/>
  <c r="B282" i="3"/>
  <c r="B298" i="3"/>
  <c r="B276" i="3"/>
  <c r="B300" i="3"/>
  <c r="B299" i="3"/>
  <c r="B256" i="3"/>
  <c r="C283" i="3"/>
  <c r="C277" i="3"/>
  <c r="C251" i="3"/>
  <c r="C270" i="3"/>
  <c r="C254" i="3"/>
  <c r="C298" i="3"/>
  <c r="C252" i="3"/>
  <c r="C296" i="3"/>
  <c r="C289" i="3"/>
  <c r="B283" i="3"/>
  <c r="B273" i="3"/>
  <c r="B248" i="3"/>
  <c r="B259" i="3"/>
  <c r="B293" i="3"/>
  <c r="B278" i="3"/>
  <c r="B262" i="3"/>
  <c r="B290" i="3"/>
  <c r="B295" i="3"/>
  <c r="B288" i="3"/>
  <c r="C299" i="3"/>
  <c r="C273" i="3"/>
  <c r="C280" i="3"/>
  <c r="C250" i="3"/>
  <c r="C256" i="3"/>
  <c r="C255" i="3"/>
  <c r="B265" i="3"/>
  <c r="B261" i="3"/>
  <c r="B257" i="3"/>
  <c r="B284" i="3"/>
  <c r="B271" i="3"/>
  <c r="B255" i="3"/>
  <c r="B281" i="3"/>
  <c r="B297" i="3"/>
  <c r="B274" i="3"/>
  <c r="B258" i="3"/>
  <c r="B294" i="3"/>
  <c r="B310" i="3"/>
  <c r="B311" i="3"/>
  <c r="B292" i="3"/>
  <c r="B268" i="3"/>
  <c r="B304" i="3"/>
  <c r="C269" i="3"/>
  <c r="C303" i="3"/>
  <c r="C245" i="3"/>
  <c r="C257" i="3"/>
  <c r="C272" i="3"/>
  <c r="C292" i="3"/>
  <c r="C253" i="3"/>
  <c r="C265" i="3"/>
  <c r="C291" i="3"/>
  <c r="C279" i="3"/>
  <c r="C260" i="3"/>
  <c r="C304" i="3"/>
  <c r="C259" i="3"/>
  <c r="C293" i="3"/>
  <c r="C274" i="3"/>
  <c r="C258" i="3"/>
  <c r="C294" i="3"/>
  <c r="C310" i="3"/>
  <c r="C264" i="3"/>
  <c r="C288" i="3"/>
  <c r="C275" i="3"/>
  <c r="C281" i="3"/>
  <c r="C305" i="3"/>
  <c r="B253" i="3"/>
  <c r="B287" i="3"/>
  <c r="B291" i="3"/>
  <c r="B303" i="3"/>
  <c r="B252" i="3"/>
  <c r="B308" i="3"/>
  <c r="B263" i="3"/>
  <c r="B247" i="3"/>
  <c r="B289" i="3"/>
  <c r="B305" i="3"/>
  <c r="B266" i="3"/>
  <c r="B250" i="3"/>
  <c r="B286" i="3"/>
  <c r="B302" i="3"/>
  <c r="B260" i="3"/>
  <c r="B307" i="3"/>
  <c r="B244" i="3"/>
  <c r="C249" i="3"/>
  <c r="C307" i="3"/>
  <c r="C295" i="3"/>
  <c r="C248" i="3"/>
  <c r="C282" i="3"/>
  <c r="C268" i="3"/>
  <c r="C267" i="3"/>
  <c r="C309" i="3"/>
  <c r="B277" i="3"/>
  <c r="B275" i="3"/>
  <c r="B243" i="3"/>
  <c r="B309" i="3"/>
  <c r="B246" i="3"/>
  <c r="B306" i="3"/>
  <c r="B280" i="3"/>
  <c r="C261" i="3"/>
  <c r="C242" i="3"/>
  <c r="B242" i="3"/>
  <c r="B226" i="3"/>
  <c r="C230" i="3"/>
  <c r="B223" i="3"/>
  <c r="B227" i="3"/>
  <c r="B231" i="3"/>
  <c r="C223" i="3"/>
  <c r="C227" i="3"/>
  <c r="C231" i="3"/>
  <c r="B222" i="3"/>
  <c r="C222" i="3"/>
  <c r="B224" i="3"/>
  <c r="B228" i="3"/>
  <c r="C224" i="3"/>
  <c r="C228" i="3"/>
  <c r="B230" i="3"/>
  <c r="C226" i="3"/>
  <c r="B225" i="3"/>
  <c r="B229" i="3"/>
  <c r="C225" i="3"/>
  <c r="C229" i="3"/>
  <c r="B169" i="3"/>
  <c r="B186" i="3"/>
  <c r="B197" i="3"/>
  <c r="B209" i="3"/>
  <c r="B217" i="3"/>
  <c r="C169" i="3"/>
  <c r="C181" i="3"/>
  <c r="C193" i="3"/>
  <c r="C201" i="3"/>
  <c r="C213" i="3"/>
  <c r="B173" i="3"/>
  <c r="B181" i="3"/>
  <c r="B166" i="3"/>
  <c r="B182" i="3"/>
  <c r="B194" i="3"/>
  <c r="B203" i="3"/>
  <c r="B211" i="3"/>
  <c r="B219" i="3"/>
  <c r="B167" i="3"/>
  <c r="B175" i="3"/>
  <c r="B183" i="3"/>
  <c r="B191" i="3"/>
  <c r="B168" i="3"/>
  <c r="B176" i="3"/>
  <c r="B184" i="3"/>
  <c r="B192" i="3"/>
  <c r="B196" i="3"/>
  <c r="B200" i="3"/>
  <c r="B204" i="3"/>
  <c r="B208" i="3"/>
  <c r="B212" i="3"/>
  <c r="B216" i="3"/>
  <c r="B220" i="3"/>
  <c r="C164" i="3"/>
  <c r="C168" i="3"/>
  <c r="C172" i="3"/>
  <c r="C176" i="3"/>
  <c r="C180" i="3"/>
  <c r="C184" i="3"/>
  <c r="C188" i="3"/>
  <c r="C192" i="3"/>
  <c r="C196" i="3"/>
  <c r="C200" i="3"/>
  <c r="C204" i="3"/>
  <c r="C208" i="3"/>
  <c r="C212" i="3"/>
  <c r="C216" i="3"/>
  <c r="C220" i="3"/>
  <c r="B177" i="3"/>
  <c r="B170" i="3"/>
  <c r="B195" i="3"/>
  <c r="B205" i="3"/>
  <c r="B221" i="3"/>
  <c r="C165" i="3"/>
  <c r="C177" i="3"/>
  <c r="C189" i="3"/>
  <c r="C205" i="3"/>
  <c r="C217" i="3"/>
  <c r="B163" i="3"/>
  <c r="B171" i="3"/>
  <c r="B179" i="3"/>
  <c r="B187" i="3"/>
  <c r="B164" i="3"/>
  <c r="B172" i="3"/>
  <c r="B180" i="3"/>
  <c r="B188" i="3"/>
  <c r="B193" i="3"/>
  <c r="B198" i="3"/>
  <c r="B202" i="3"/>
  <c r="B206" i="3"/>
  <c r="B210" i="3"/>
  <c r="B214" i="3"/>
  <c r="B218" i="3"/>
  <c r="C166" i="3"/>
  <c r="C170" i="3"/>
  <c r="C174" i="3"/>
  <c r="C178" i="3"/>
  <c r="C182" i="3"/>
  <c r="C186" i="3"/>
  <c r="C190" i="3"/>
  <c r="C194" i="3"/>
  <c r="C198" i="3"/>
  <c r="C202" i="3"/>
  <c r="C206" i="3"/>
  <c r="C210" i="3"/>
  <c r="C214" i="3"/>
  <c r="C218" i="3"/>
  <c r="B185" i="3"/>
  <c r="B178" i="3"/>
  <c r="B201" i="3"/>
  <c r="B213" i="3"/>
  <c r="C173" i="3"/>
  <c r="C185" i="3"/>
  <c r="C197" i="3"/>
  <c r="C209" i="3"/>
  <c r="C221" i="3"/>
  <c r="B165" i="3"/>
  <c r="B189" i="3"/>
  <c r="B174" i="3"/>
  <c r="B190" i="3"/>
  <c r="B199" i="3"/>
  <c r="B207" i="3"/>
  <c r="B215" i="3"/>
  <c r="C163" i="3"/>
  <c r="C167" i="3"/>
  <c r="C171" i="3"/>
  <c r="C175" i="3"/>
  <c r="C179" i="3"/>
  <c r="C183" i="3"/>
  <c r="C187" i="3"/>
  <c r="C191" i="3"/>
  <c r="C195" i="3"/>
  <c r="C199" i="3"/>
  <c r="C203" i="3"/>
  <c r="C207" i="3"/>
  <c r="C211" i="3"/>
  <c r="C215" i="3"/>
  <c r="C219" i="3"/>
  <c r="C162" i="3"/>
  <c r="B162" i="3"/>
  <c r="B2" i="25" l="1"/>
  <c r="B32" i="21" s="1"/>
  <c r="C2" i="25"/>
  <c r="C4" i="25"/>
  <c r="B4" i="25"/>
  <c r="R25" i="6"/>
  <c r="AC4" i="7"/>
  <c r="D31" i="5"/>
  <c r="W19" i="8"/>
  <c r="W15" i="7"/>
  <c r="Z15" i="7"/>
  <c r="T15" i="7"/>
  <c r="AC12" i="7"/>
  <c r="AP15" i="7"/>
  <c r="AC5" i="7"/>
  <c r="AG14" i="8"/>
  <c r="Q15" i="7"/>
  <c r="AG5" i="8"/>
  <c r="R19" i="8"/>
  <c r="AG10" i="8"/>
  <c r="AG6" i="8"/>
  <c r="AX19" i="8"/>
  <c r="Y19" i="8"/>
  <c r="AG19" i="8"/>
  <c r="Q19" i="8"/>
  <c r="AA19" i="8"/>
  <c r="AG4" i="8"/>
  <c r="T19" i="8"/>
  <c r="AG18" i="8"/>
  <c r="AF41" i="8" s="1"/>
  <c r="AG36" i="8"/>
  <c r="Z19" i="8"/>
  <c r="AG9" i="8"/>
  <c r="AG16" i="8"/>
  <c r="AG11" i="8"/>
  <c r="AD19" i="8"/>
  <c r="AF19" i="8"/>
  <c r="V19" i="8"/>
  <c r="S19" i="8"/>
  <c r="AG8" i="8"/>
  <c r="AG13" i="8"/>
  <c r="AG15" i="8"/>
  <c r="AG12" i="8"/>
  <c r="AE19" i="8"/>
  <c r="AG7" i="8"/>
  <c r="U19" i="8"/>
  <c r="AG17" i="8"/>
  <c r="X19" i="8"/>
  <c r="AC19" i="8"/>
  <c r="AB19" i="8"/>
  <c r="AA15" i="7"/>
  <c r="AC13" i="7"/>
  <c r="Y15" i="7"/>
  <c r="AC9" i="7"/>
  <c r="AC14" i="7"/>
  <c r="S15" i="7"/>
  <c r="AC15" i="7"/>
  <c r="U15" i="7"/>
  <c r="AC11" i="7"/>
  <c r="X15" i="7"/>
  <c r="AC28" i="7"/>
  <c r="R15" i="7"/>
  <c r="V15" i="7"/>
  <c r="AC3" i="7"/>
  <c r="AC10" i="7"/>
  <c r="AB15" i="7"/>
  <c r="AC8" i="7"/>
  <c r="AC6" i="7"/>
  <c r="AC7" i="7"/>
  <c r="Q25" i="6"/>
  <c r="V27" i="6"/>
  <c r="D29" i="6" s="1"/>
  <c r="AH8" i="6"/>
  <c r="V4" i="6"/>
  <c r="X4" i="6"/>
  <c r="S8" i="6"/>
  <c r="U8" i="6"/>
  <c r="V20" i="6"/>
  <c r="V26" i="6"/>
  <c r="C29" i="6" s="1"/>
  <c r="W9" i="6"/>
  <c r="X7" i="6"/>
  <c r="C31" i="5"/>
  <c r="C18" i="6"/>
  <c r="D16" i="6"/>
  <c r="AA23" i="23"/>
  <c r="E28" i="23" s="1"/>
  <c r="C16" i="6"/>
  <c r="D18" i="6"/>
  <c r="AC23" i="23"/>
  <c r="E30" i="23" s="1"/>
  <c r="C19" i="6"/>
  <c r="D19" i="6"/>
  <c r="AB23" i="23"/>
  <c r="E29" i="23" s="1"/>
  <c r="T9" i="6"/>
  <c r="C14" i="6"/>
  <c r="AH11" i="6" s="1"/>
  <c r="W11" i="23"/>
  <c r="D14" i="6"/>
  <c r="Y23" i="23"/>
  <c r="E26" i="23" s="1"/>
  <c r="C15" i="6"/>
  <c r="Z7" i="23"/>
  <c r="D15" i="6"/>
  <c r="Y27" i="6" s="1"/>
  <c r="D32" i="6" s="1"/>
  <c r="Z23" i="23"/>
  <c r="E27" i="23" s="1"/>
  <c r="D13" i="6"/>
  <c r="X23" i="23"/>
  <c r="E25" i="23" s="1"/>
  <c r="C13" i="6"/>
  <c r="Q9" i="6"/>
  <c r="R9" i="6"/>
  <c r="U5" i="23"/>
  <c r="W5" i="6"/>
  <c r="W7" i="6"/>
  <c r="AH9" i="6"/>
  <c r="S9" i="6"/>
  <c r="W6" i="23"/>
  <c r="S7" i="23"/>
  <c r="X3" i="6"/>
  <c r="W26" i="6"/>
  <c r="C30" i="6" s="1"/>
  <c r="W6" i="6"/>
  <c r="W20" i="6"/>
  <c r="W3" i="6"/>
  <c r="W11" i="6"/>
  <c r="T8" i="23"/>
  <c r="W4" i="6"/>
  <c r="U9" i="6"/>
  <c r="V9" i="6"/>
  <c r="T7" i="23"/>
  <c r="S21" i="23" s="1"/>
  <c r="T8" i="6"/>
  <c r="V3" i="6"/>
  <c r="V8" i="6"/>
  <c r="R8" i="6"/>
  <c r="U8" i="23"/>
  <c r="AD8" i="23"/>
  <c r="V22" i="23"/>
  <c r="D23" i="23" s="1"/>
  <c r="V16" i="23"/>
  <c r="Q8" i="23"/>
  <c r="AA8" i="23"/>
  <c r="V8" i="23"/>
  <c r="V3" i="23"/>
  <c r="R8" i="23"/>
  <c r="V4" i="23"/>
  <c r="V5" i="6"/>
  <c r="X5" i="6"/>
  <c r="V6" i="6"/>
  <c r="Q8" i="6"/>
  <c r="Y10" i="6"/>
  <c r="V6" i="23"/>
  <c r="V7" i="6"/>
  <c r="Y8" i="6"/>
  <c r="W8" i="6"/>
  <c r="S8" i="23"/>
  <c r="V5" i="23"/>
  <c r="Q7" i="23"/>
  <c r="U16" i="23"/>
  <c r="U3" i="23"/>
  <c r="AD7" i="23"/>
  <c r="U7" i="23"/>
  <c r="U22" i="23"/>
  <c r="D22" i="23" s="1"/>
  <c r="V7" i="23"/>
  <c r="U4" i="23"/>
  <c r="T21" i="23" s="1"/>
  <c r="R7" i="23"/>
  <c r="X9" i="6"/>
  <c r="T10" i="6"/>
  <c r="R10" i="6"/>
  <c r="U10" i="6"/>
  <c r="V10" i="6"/>
  <c r="AH10" i="6"/>
  <c r="S10" i="6"/>
  <c r="S9" i="23"/>
  <c r="X11" i="6"/>
  <c r="X8" i="6"/>
  <c r="X20" i="6"/>
  <c r="W10" i="6"/>
  <c r="X6" i="6"/>
  <c r="X10" i="6"/>
  <c r="Q10" i="6"/>
  <c r="T9" i="23"/>
  <c r="W9" i="23"/>
  <c r="W22" i="23"/>
  <c r="D24" i="23" s="1"/>
  <c r="U9" i="23"/>
  <c r="V9" i="23"/>
  <c r="W7" i="23"/>
  <c r="W3" i="23"/>
  <c r="W16" i="23"/>
  <c r="Q9" i="23"/>
  <c r="AD9" i="23"/>
  <c r="W8" i="23"/>
  <c r="W4" i="23"/>
  <c r="R9" i="23"/>
  <c r="Z50" i="9"/>
  <c r="X26" i="6"/>
  <c r="C31" i="6" s="1"/>
  <c r="E33" i="5"/>
  <c r="P33" i="5" s="1"/>
  <c r="C3" i="25" s="1"/>
  <c r="E32" i="5"/>
  <c r="O33" i="5" s="1"/>
  <c r="B3" i="25" s="1"/>
  <c r="Y26" i="6"/>
  <c r="C32" i="6" s="1"/>
  <c r="S42" i="9"/>
  <c r="AK3" i="9"/>
  <c r="AD23" i="9"/>
  <c r="AK20" i="9"/>
  <c r="BE19" i="9"/>
  <c r="AC23" i="9"/>
  <c r="W49" i="9" s="1"/>
  <c r="AK16" i="9"/>
  <c r="BE13" i="9"/>
  <c r="BE10" i="9"/>
  <c r="BE11" i="9"/>
  <c r="BE43" i="9"/>
  <c r="AI43" i="9"/>
  <c r="W43" i="9"/>
  <c r="Q43" i="9"/>
  <c r="U43" i="9"/>
  <c r="AK4" i="9"/>
  <c r="AK13" i="9"/>
  <c r="AK8" i="9"/>
  <c r="AJ23" i="9"/>
  <c r="W23" i="9"/>
  <c r="Q23" i="9"/>
  <c r="R23" i="9"/>
  <c r="AB23" i="9"/>
  <c r="AK19" i="9"/>
  <c r="AK21" i="9"/>
  <c r="AK15" i="9"/>
  <c r="BE16" i="9"/>
  <c r="AK17" i="9"/>
  <c r="BE6" i="9"/>
  <c r="BE4" i="9"/>
  <c r="BE8" i="9"/>
  <c r="BE3" i="9"/>
  <c r="AF23" i="9"/>
  <c r="AF43" i="9"/>
  <c r="AI23" i="9"/>
  <c r="AC43" i="9"/>
  <c r="AE43" i="9"/>
  <c r="AH23" i="9"/>
  <c r="AJ43" i="9"/>
  <c r="AK43" i="9"/>
  <c r="Z43" i="9"/>
  <c r="T43" i="9"/>
  <c r="S23" i="9"/>
  <c r="BF23" i="9"/>
  <c r="X23" i="9"/>
  <c r="AK9" i="9"/>
  <c r="BE20" i="9"/>
  <c r="BE18" i="9"/>
  <c r="BE21" i="9"/>
  <c r="BE5" i="9"/>
  <c r="BE23" i="9"/>
  <c r="BE7" i="9"/>
  <c r="BE44" i="9"/>
  <c r="AB43" i="9"/>
  <c r="AH43" i="9"/>
  <c r="AA43" i="9"/>
  <c r="S43" i="9"/>
  <c r="X43" i="9"/>
  <c r="AG23" i="9"/>
  <c r="AK11" i="9"/>
  <c r="AK12" i="9"/>
  <c r="U23" i="9"/>
  <c r="AK6" i="9"/>
  <c r="Z23" i="9"/>
  <c r="AK22" i="9"/>
  <c r="Y23" i="9"/>
  <c r="V23" i="9"/>
  <c r="AA23" i="9"/>
  <c r="AK18" i="9"/>
  <c r="AK14" i="9"/>
  <c r="BE14" i="9"/>
  <c r="BE15" i="9"/>
  <c r="BE17" i="9"/>
  <c r="BE9" i="9"/>
  <c r="BE12" i="9"/>
  <c r="BE22" i="9"/>
  <c r="BF43" i="9"/>
  <c r="AG43" i="9"/>
  <c r="AE23" i="9"/>
  <c r="AD43" i="9"/>
  <c r="V43" i="9"/>
  <c r="R43" i="9"/>
  <c r="Y43" i="9"/>
  <c r="AK7" i="9"/>
  <c r="AK44" i="9"/>
  <c r="AK5" i="9"/>
  <c r="AK10" i="9"/>
  <c r="T23" i="9"/>
  <c r="AK23" i="9"/>
  <c r="AF35" i="7"/>
  <c r="C47" i="7" s="1"/>
  <c r="G5" i="5"/>
  <c r="E7" i="5"/>
  <c r="G4" i="5"/>
  <c r="G12" i="5"/>
  <c r="G7" i="5"/>
  <c r="G3" i="5"/>
  <c r="L7" i="5"/>
  <c r="C7" i="5"/>
  <c r="D7" i="5"/>
  <c r="BD17" i="9"/>
  <c r="BD23" i="9"/>
  <c r="BD3" i="9"/>
  <c r="BF42" i="9"/>
  <c r="BD9" i="9"/>
  <c r="AH42" i="9"/>
  <c r="AC42" i="9"/>
  <c r="Y42" i="9"/>
  <c r="Q42" i="9"/>
  <c r="V42" i="9"/>
  <c r="R42" i="9"/>
  <c r="BD20" i="9"/>
  <c r="BD19" i="9"/>
  <c r="BD5" i="9"/>
  <c r="BD42" i="9"/>
  <c r="BD12" i="9"/>
  <c r="BD7" i="9"/>
  <c r="BD10" i="9"/>
  <c r="BD43" i="9"/>
  <c r="AF42" i="9"/>
  <c r="AI42" i="9"/>
  <c r="AD42" i="9"/>
  <c r="AE42" i="9"/>
  <c r="U42" i="9"/>
  <c r="AK42" i="9"/>
  <c r="BD18" i="9"/>
  <c r="BD14" i="9"/>
  <c r="BD16" i="9"/>
  <c r="BD11" i="9"/>
  <c r="BD4" i="9"/>
  <c r="BD44" i="9"/>
  <c r="BD6" i="9"/>
  <c r="BD22" i="9"/>
  <c r="AG42" i="9"/>
  <c r="T42" i="9"/>
  <c r="AJ42" i="9"/>
  <c r="W42" i="9"/>
  <c r="Z42" i="9"/>
  <c r="BD21" i="9"/>
  <c r="BD15" i="9"/>
  <c r="BD8" i="9"/>
  <c r="BD13" i="9"/>
  <c r="BE42" i="9"/>
  <c r="AB42" i="9"/>
  <c r="AA42" i="9"/>
  <c r="X42" i="9"/>
  <c r="W26" i="7"/>
  <c r="AO9" i="7"/>
  <c r="Y26" i="7"/>
  <c r="Z27" i="7"/>
  <c r="AN13" i="7"/>
  <c r="AN10" i="7"/>
  <c r="S26" i="7"/>
  <c r="AC26" i="7"/>
  <c r="AO8" i="7"/>
  <c r="AO3" i="7"/>
  <c r="R26" i="7"/>
  <c r="W27" i="7"/>
  <c r="AN14" i="7"/>
  <c r="AN5" i="7"/>
  <c r="AN28" i="7"/>
  <c r="Q26" i="7"/>
  <c r="S27" i="7"/>
  <c r="AN11" i="7"/>
  <c r="Z26" i="7"/>
  <c r="AA27" i="7"/>
  <c r="X26" i="7"/>
  <c r="AN15" i="7"/>
  <c r="V27" i="7"/>
  <c r="AB26" i="7"/>
  <c r="AN7" i="7"/>
  <c r="AN27" i="7"/>
  <c r="AO5" i="7"/>
  <c r="AO15" i="7"/>
  <c r="AO4" i="7"/>
  <c r="AO7" i="7"/>
  <c r="AN26" i="7"/>
  <c r="AO26" i="7"/>
  <c r="Y27" i="7"/>
  <c r="AO12" i="7"/>
  <c r="AA26" i="7"/>
  <c r="AO10" i="7"/>
  <c r="AN6" i="7"/>
  <c r="U27" i="7"/>
  <c r="R27" i="7"/>
  <c r="AO27" i="7"/>
  <c r="AP27" i="7"/>
  <c r="V26" i="7"/>
  <c r="AO14" i="7"/>
  <c r="T26" i="7"/>
  <c r="U26" i="7"/>
  <c r="AN3" i="7"/>
  <c r="AN4" i="7"/>
  <c r="AO11" i="7"/>
  <c r="AN12" i="7"/>
  <c r="AO13" i="7"/>
  <c r="X27" i="7"/>
  <c r="AO6" i="7"/>
  <c r="AC27" i="7"/>
  <c r="AN8" i="7"/>
  <c r="Q27" i="7"/>
  <c r="AO28" i="7"/>
  <c r="AN9" i="7"/>
  <c r="AB27" i="7"/>
  <c r="T27" i="7"/>
  <c r="AP26" i="7"/>
  <c r="X27" i="8"/>
  <c r="T27" i="8"/>
  <c r="Q27" i="8"/>
  <c r="AO17" i="8"/>
  <c r="AO8" i="8"/>
  <c r="AE27" i="8"/>
  <c r="AF27" i="8"/>
  <c r="AG27" i="8"/>
  <c r="AO11" i="8"/>
  <c r="U27" i="8"/>
  <c r="AO13" i="8"/>
  <c r="AO14" i="8"/>
  <c r="AO18" i="8"/>
  <c r="AO12" i="8"/>
  <c r="AO7" i="8"/>
  <c r="AO9" i="8"/>
  <c r="AO27" i="8"/>
  <c r="Z27" i="8"/>
  <c r="AA27" i="8"/>
  <c r="S27" i="8"/>
  <c r="R27" i="8"/>
  <c r="AO36" i="8"/>
  <c r="AO15" i="8"/>
  <c r="AO5" i="8"/>
  <c r="AO4" i="8"/>
  <c r="AO3" i="8"/>
  <c r="AD27" i="8"/>
  <c r="AB27" i="8"/>
  <c r="AC27" i="8"/>
  <c r="V27" i="8"/>
  <c r="Y27" i="8"/>
  <c r="AO16" i="8"/>
  <c r="AO19" i="8"/>
  <c r="AO6" i="8"/>
  <c r="AO10" i="8"/>
  <c r="AX27" i="8"/>
  <c r="W27" i="8"/>
  <c r="AN36" i="8"/>
  <c r="AN15" i="8"/>
  <c r="S26" i="8"/>
  <c r="AN5" i="8"/>
  <c r="R26" i="8"/>
  <c r="AN16" i="8"/>
  <c r="AN18" i="8"/>
  <c r="AN14" i="8"/>
  <c r="W26" i="8"/>
  <c r="Y26" i="8"/>
  <c r="AN26" i="8"/>
  <c r="AD35" i="7"/>
  <c r="C45" i="7" s="1"/>
  <c r="AO26" i="8"/>
  <c r="AN17" i="8"/>
  <c r="AE26" i="8"/>
  <c r="AB26" i="8"/>
  <c r="AN8" i="8"/>
  <c r="T26" i="8"/>
  <c r="U26" i="8"/>
  <c r="AN10" i="8"/>
  <c r="AX26" i="8"/>
  <c r="AN12" i="8"/>
  <c r="AD26" i="8"/>
  <c r="AF26" i="8"/>
  <c r="AG26" i="8"/>
  <c r="AN19" i="8"/>
  <c r="AN13" i="8"/>
  <c r="AC26" i="8"/>
  <c r="AN9" i="8"/>
  <c r="AN7" i="8"/>
  <c r="AN11" i="8"/>
  <c r="Q26" i="8"/>
  <c r="Z26" i="8"/>
  <c r="AA26" i="8"/>
  <c r="V26" i="8"/>
  <c r="AN4" i="8"/>
  <c r="AN6" i="8"/>
  <c r="AN27" i="8"/>
  <c r="X26" i="8"/>
  <c r="BD51" i="9"/>
  <c r="AI51" i="9"/>
  <c r="AI50" i="9"/>
  <c r="AY51" i="9"/>
  <c r="BD50" i="9"/>
  <c r="AH50" i="9"/>
  <c r="AH51" i="9"/>
  <c r="AJ34" i="7"/>
  <c r="B51" i="7" s="1"/>
  <c r="BA50" i="9"/>
  <c r="AU51" i="9"/>
  <c r="AO51" i="9"/>
  <c r="AD50" i="9"/>
  <c r="AE50" i="9"/>
  <c r="AA51" i="9"/>
  <c r="AE51" i="9"/>
  <c r="AG51" i="9"/>
  <c r="Y51" i="9"/>
  <c r="AB51" i="9"/>
  <c r="AG50" i="9"/>
  <c r="Y50" i="9"/>
  <c r="AB50" i="9"/>
  <c r="AN50" i="9"/>
  <c r="AP50" i="9"/>
  <c r="Y34" i="7"/>
  <c r="B40" i="7" s="1"/>
  <c r="AM51" i="9"/>
  <c r="Y35" i="7"/>
  <c r="C40" i="7" s="1"/>
  <c r="BE51" i="9"/>
  <c r="AJ51" i="9"/>
  <c r="AC34" i="7"/>
  <c r="B44" i="7" s="1"/>
  <c r="AK51" i="9"/>
  <c r="X34" i="7"/>
  <c r="B39" i="7" s="1"/>
  <c r="AF50" i="9"/>
  <c r="AL35" i="7"/>
  <c r="C53" i="7" s="1"/>
  <c r="AK35" i="7"/>
  <c r="C52" i="7" s="1"/>
  <c r="AF51" i="9"/>
  <c r="G33" i="5"/>
  <c r="P35" i="5" s="1"/>
  <c r="C5" i="25" s="1"/>
  <c r="G32" i="5"/>
  <c r="O35" i="5" s="1"/>
  <c r="BB51" i="9"/>
  <c r="AZ51" i="9"/>
  <c r="AX51" i="9"/>
  <c r="AW51" i="9"/>
  <c r="BC51" i="9"/>
  <c r="AN34" i="7"/>
  <c r="B55" i="7" s="1"/>
  <c r="BA51" i="9"/>
  <c r="AQ51" i="9"/>
  <c r="AV51" i="9"/>
  <c r="AM35" i="7"/>
  <c r="C54" i="7" s="1"/>
  <c r="AT51" i="9"/>
  <c r="AI35" i="7"/>
  <c r="C50" i="7" s="1"/>
  <c r="X35" i="7"/>
  <c r="C39" i="7" s="1"/>
  <c r="AS51" i="9"/>
  <c r="AG35" i="7"/>
  <c r="C48" i="7" s="1"/>
  <c r="AP51" i="9"/>
  <c r="AN51" i="9"/>
  <c r="AR51" i="9"/>
  <c r="AL51" i="9"/>
  <c r="AH35" i="7"/>
  <c r="C49" i="7" s="1"/>
  <c r="S25" i="6"/>
  <c r="AC38" i="9"/>
  <c r="AG40" i="9"/>
  <c r="AI39" i="9"/>
  <c r="AC32" i="8"/>
  <c r="AO34" i="8"/>
  <c r="AA33" i="8"/>
  <c r="AA35" i="8"/>
  <c r="AD41" i="9"/>
  <c r="AF35" i="9"/>
  <c r="AE36" i="9"/>
  <c r="AC37" i="9"/>
  <c r="Q29" i="8"/>
  <c r="X29" i="8"/>
  <c r="Y29" i="8"/>
  <c r="R29" i="8"/>
  <c r="S29" i="8"/>
  <c r="V29" i="8"/>
  <c r="U29" i="8"/>
  <c r="W29" i="8"/>
  <c r="T29" i="8"/>
  <c r="Q30" i="8"/>
  <c r="Y30" i="8"/>
  <c r="X30" i="8"/>
  <c r="T30" i="8"/>
  <c r="V30" i="8"/>
  <c r="R30" i="8"/>
  <c r="W30" i="8"/>
  <c r="S30" i="8"/>
  <c r="U30" i="8"/>
  <c r="Q31" i="8"/>
  <c r="X31" i="8"/>
  <c r="Y31" i="8"/>
  <c r="U31" i="8"/>
  <c r="W31" i="8"/>
  <c r="R31" i="8"/>
  <c r="S31" i="8"/>
  <c r="T31" i="8"/>
  <c r="V31" i="8"/>
  <c r="Z35" i="8"/>
  <c r="AB35" i="9"/>
  <c r="AF38" i="9"/>
  <c r="AF40" i="9"/>
  <c r="AG38" i="9"/>
  <c r="AH39" i="9"/>
  <c r="AI36" i="9"/>
  <c r="AD33" i="8"/>
  <c r="AD34" i="8"/>
  <c r="AE31" i="8"/>
  <c r="AF34" i="8"/>
  <c r="AF33" i="8"/>
  <c r="AG32" i="8"/>
  <c r="AG29" i="8"/>
  <c r="AG30" i="8"/>
  <c r="AC36" i="9"/>
  <c r="AD39" i="9"/>
  <c r="AE39" i="9"/>
  <c r="AE41" i="9"/>
  <c r="AO31" i="8"/>
  <c r="AO29" i="8"/>
  <c r="AN34" i="8"/>
  <c r="AN33" i="8"/>
  <c r="AN35" i="8"/>
  <c r="Q35" i="9"/>
  <c r="AK35" i="9"/>
  <c r="Z35" i="9"/>
  <c r="S35" i="9"/>
  <c r="R35" i="9"/>
  <c r="T35" i="9"/>
  <c r="AA35" i="9"/>
  <c r="X35" i="9"/>
  <c r="V35" i="9"/>
  <c r="Y35" i="9"/>
  <c r="U35" i="9"/>
  <c r="AJ35" i="9"/>
  <c r="W35" i="9"/>
  <c r="Q36" i="9"/>
  <c r="V36" i="9"/>
  <c r="R36" i="9"/>
  <c r="AJ36" i="9"/>
  <c r="AA36" i="9"/>
  <c r="T36" i="9"/>
  <c r="X36" i="9"/>
  <c r="Y36" i="9"/>
  <c r="U36" i="9"/>
  <c r="W36" i="9"/>
  <c r="AK36" i="9"/>
  <c r="Z36" i="9"/>
  <c r="S36" i="9"/>
  <c r="Q37" i="9"/>
  <c r="AJ37" i="9"/>
  <c r="T37" i="9"/>
  <c r="V37" i="9"/>
  <c r="S37" i="9"/>
  <c r="AA37" i="9"/>
  <c r="X37" i="9"/>
  <c r="AK37" i="9"/>
  <c r="Y37" i="9"/>
  <c r="U37" i="9"/>
  <c r="W37" i="9"/>
  <c r="Z37" i="9"/>
  <c r="R37" i="9"/>
  <c r="Z31" i="8"/>
  <c r="Z33" i="8"/>
  <c r="AB37" i="9"/>
  <c r="AB40" i="9"/>
  <c r="AF41" i="9"/>
  <c r="AF36" i="9"/>
  <c r="AG39" i="9"/>
  <c r="AG41" i="9"/>
  <c r="AH38" i="9"/>
  <c r="AH40" i="9"/>
  <c r="AH35" i="9"/>
  <c r="AI38" i="9"/>
  <c r="AD30" i="8"/>
  <c r="AD35" i="8"/>
  <c r="AE34" i="8"/>
  <c r="AE33" i="8"/>
  <c r="AF31" i="8"/>
  <c r="AF35" i="8"/>
  <c r="AF30" i="8"/>
  <c r="AF29" i="8"/>
  <c r="AG35" i="8"/>
  <c r="AC39" i="9"/>
  <c r="AD38" i="9"/>
  <c r="AD35" i="9"/>
  <c r="AD40" i="9"/>
  <c r="AE35" i="9"/>
  <c r="AE37" i="9"/>
  <c r="AA34" i="8"/>
  <c r="AB31" i="8"/>
  <c r="AC34" i="8"/>
  <c r="AN30" i="8"/>
  <c r="AN29" i="8"/>
  <c r="AN31" i="8"/>
  <c r="Q32" i="8"/>
  <c r="X32" i="8"/>
  <c r="Y32" i="8"/>
  <c r="T32" i="8"/>
  <c r="V32" i="8"/>
  <c r="U32" i="8"/>
  <c r="S32" i="8"/>
  <c r="W32" i="8"/>
  <c r="R32" i="8"/>
  <c r="Q34" i="8"/>
  <c r="X34" i="8"/>
  <c r="Y34" i="8"/>
  <c r="S34" i="8"/>
  <c r="U34" i="8"/>
  <c r="T34" i="8"/>
  <c r="V34" i="8"/>
  <c r="W34" i="8"/>
  <c r="R34" i="8"/>
  <c r="Q33" i="8"/>
  <c r="X33" i="8"/>
  <c r="Y33" i="8"/>
  <c r="S33" i="8"/>
  <c r="W33" i="8"/>
  <c r="T33" i="8"/>
  <c r="R33" i="8"/>
  <c r="V33" i="8"/>
  <c r="U33" i="8"/>
  <c r="Q35" i="8"/>
  <c r="X35" i="8"/>
  <c r="Y35" i="8"/>
  <c r="T35" i="8"/>
  <c r="V35" i="8"/>
  <c r="U35" i="8"/>
  <c r="W35" i="8"/>
  <c r="R35" i="8"/>
  <c r="S35" i="8"/>
  <c r="Z34" i="8"/>
  <c r="Z29" i="8"/>
  <c r="AB38" i="9"/>
  <c r="AB36" i="9"/>
  <c r="AF37" i="9"/>
  <c r="AG35" i="9"/>
  <c r="AG37" i="9"/>
  <c r="AH41" i="9"/>
  <c r="AH36" i="9"/>
  <c r="AI41" i="9"/>
  <c r="AD31" i="8"/>
  <c r="AE30" i="8"/>
  <c r="AE29" i="8"/>
  <c r="AE32" i="8"/>
  <c r="AG31" i="8"/>
  <c r="AD36" i="9"/>
  <c r="AA31" i="8"/>
  <c r="AA29" i="8"/>
  <c r="AA30" i="8"/>
  <c r="AB32" i="8"/>
  <c r="AB35" i="8"/>
  <c r="AB33" i="8"/>
  <c r="AB34" i="8"/>
  <c r="AC29" i="8"/>
  <c r="AC35" i="8"/>
  <c r="AO30" i="8"/>
  <c r="Q38" i="9"/>
  <c r="AJ38" i="9"/>
  <c r="X38" i="9"/>
  <c r="Y38" i="9"/>
  <c r="U38" i="9"/>
  <c r="W38" i="9"/>
  <c r="Z38" i="9"/>
  <c r="R38" i="9"/>
  <c r="AK38" i="9"/>
  <c r="V38" i="9"/>
  <c r="S38" i="9"/>
  <c r="T38" i="9"/>
  <c r="AA38" i="9"/>
  <c r="Q40" i="9"/>
  <c r="AK40" i="9"/>
  <c r="T40" i="9"/>
  <c r="Z40" i="9"/>
  <c r="S40" i="9"/>
  <c r="V40" i="9"/>
  <c r="R40" i="9"/>
  <c r="AJ40" i="9"/>
  <c r="AA40" i="9"/>
  <c r="X40" i="9"/>
  <c r="Y40" i="9"/>
  <c r="U40" i="9"/>
  <c r="W40" i="9"/>
  <c r="Q39" i="9"/>
  <c r="AK39" i="9"/>
  <c r="S39" i="9"/>
  <c r="R39" i="9"/>
  <c r="T39" i="9"/>
  <c r="AA39" i="9"/>
  <c r="Z39" i="9"/>
  <c r="X39" i="9"/>
  <c r="Y39" i="9"/>
  <c r="U39" i="9"/>
  <c r="W39" i="9"/>
  <c r="AJ39" i="9"/>
  <c r="V39" i="9"/>
  <c r="Q41" i="9"/>
  <c r="Z41" i="9"/>
  <c r="R41" i="9"/>
  <c r="AJ41" i="9"/>
  <c r="T41" i="9"/>
  <c r="V41" i="9"/>
  <c r="S41" i="9"/>
  <c r="AA41" i="9"/>
  <c r="X41" i="9"/>
  <c r="AK41" i="9"/>
  <c r="Y41" i="9"/>
  <c r="U41" i="9"/>
  <c r="W41" i="9"/>
  <c r="Z30" i="8"/>
  <c r="Z32" i="8"/>
  <c r="AB39" i="9"/>
  <c r="AB41" i="9"/>
  <c r="AF39" i="9"/>
  <c r="AG36" i="9"/>
  <c r="AH37" i="9"/>
  <c r="AI40" i="9"/>
  <c r="AI35" i="9"/>
  <c r="AI37" i="9"/>
  <c r="AD29" i="8"/>
  <c r="AD32" i="8"/>
  <c r="AE35" i="8"/>
  <c r="AF32" i="8"/>
  <c r="AG33" i="8"/>
  <c r="AG34" i="8"/>
  <c r="AC35" i="9"/>
  <c r="AC40" i="9"/>
  <c r="AC41" i="9"/>
  <c r="AD37" i="9"/>
  <c r="AE38" i="9"/>
  <c r="AE40" i="9"/>
  <c r="AA32" i="8"/>
  <c r="AB29" i="8"/>
  <c r="AB30" i="8"/>
  <c r="AC33" i="8"/>
  <c r="AC30" i="8"/>
  <c r="AC31" i="8"/>
  <c r="AO35" i="8"/>
  <c r="AO33" i="8"/>
  <c r="AO32" i="8"/>
  <c r="AN32" i="8"/>
  <c r="AB28" i="8"/>
  <c r="AH34" i="9"/>
  <c r="AD31" i="9"/>
  <c r="AH28" i="9"/>
  <c r="AD26" i="9"/>
  <c r="AG25" i="9"/>
  <c r="AE30" i="9"/>
  <c r="AC34" i="9"/>
  <c r="AD34" i="9"/>
  <c r="AC28" i="8"/>
  <c r="AN28" i="8"/>
  <c r="AL15" i="8"/>
  <c r="AJ15" i="8"/>
  <c r="AC25" i="8"/>
  <c r="AB23" i="8"/>
  <c r="AD28" i="8"/>
  <c r="AE28" i="8"/>
  <c r="Q34" i="9"/>
  <c r="AJ34" i="9"/>
  <c r="T34" i="9"/>
  <c r="Z34" i="9"/>
  <c r="X34" i="9"/>
  <c r="S34" i="9"/>
  <c r="AA34" i="9"/>
  <c r="U34" i="9"/>
  <c r="R34" i="9"/>
  <c r="Y34" i="9"/>
  <c r="AK34" i="9"/>
  <c r="V34" i="9"/>
  <c r="W34" i="9"/>
  <c r="AE32" i="9"/>
  <c r="AH29" i="9"/>
  <c r="AG27" i="9"/>
  <c r="AC33" i="9"/>
  <c r="Q28" i="8"/>
  <c r="X28" i="8"/>
  <c r="Y28" i="8"/>
  <c r="T28" i="8"/>
  <c r="U28" i="8"/>
  <c r="R28" i="8"/>
  <c r="W28" i="8"/>
  <c r="S28" i="8"/>
  <c r="V28" i="8"/>
  <c r="AF34" i="9"/>
  <c r="AI34" i="9"/>
  <c r="AA28" i="8"/>
  <c r="Z28" i="8"/>
  <c r="AB34" i="9"/>
  <c r="AG34" i="9"/>
  <c r="AF28" i="8"/>
  <c r="AG28" i="8"/>
  <c r="AE34" i="9"/>
  <c r="AO28" i="8"/>
  <c r="AI30" i="8"/>
  <c r="AI34" i="8"/>
  <c r="AJ21" i="8"/>
  <c r="AN21" i="8"/>
  <c r="AI31" i="8"/>
  <c r="AI35" i="8"/>
  <c r="AK21" i="8"/>
  <c r="Q21" i="8"/>
  <c r="AI28" i="8"/>
  <c r="AI32" i="8"/>
  <c r="AI36" i="8"/>
  <c r="AL21" i="8"/>
  <c r="AI29" i="8"/>
  <c r="AI33" i="8"/>
  <c r="AI21" i="8"/>
  <c r="AM21" i="8"/>
  <c r="X21" i="8"/>
  <c r="Y21" i="8"/>
  <c r="AI11" i="8"/>
  <c r="AI10" i="8"/>
  <c r="S21" i="8"/>
  <c r="U21" i="8"/>
  <c r="AI4" i="8"/>
  <c r="R21" i="8"/>
  <c r="AI6" i="8"/>
  <c r="AI8" i="8"/>
  <c r="AI7" i="8"/>
  <c r="AI9" i="8"/>
  <c r="W21" i="8"/>
  <c r="T21" i="8"/>
  <c r="AI5" i="8"/>
  <c r="V21" i="8"/>
  <c r="Z23" i="8"/>
  <c r="Z21" i="8"/>
  <c r="AI12" i="8"/>
  <c r="AB26" i="9"/>
  <c r="AB28" i="9"/>
  <c r="AF30" i="9"/>
  <c r="AF33" i="9"/>
  <c r="AF27" i="9"/>
  <c r="AG32" i="9"/>
  <c r="AH31" i="9"/>
  <c r="AI26" i="9"/>
  <c r="AI29" i="9"/>
  <c r="AD25" i="8"/>
  <c r="AD24" i="8"/>
  <c r="AL16" i="8"/>
  <c r="AK17" i="8"/>
  <c r="AE22" i="8"/>
  <c r="AF23" i="8"/>
  <c r="AJ18" i="8"/>
  <c r="AI18" i="8"/>
  <c r="AG24" i="8"/>
  <c r="AG25" i="8"/>
  <c r="AJ19" i="8"/>
  <c r="AM19" i="8"/>
  <c r="AC27" i="9"/>
  <c r="AD33" i="9"/>
  <c r="AE27" i="9"/>
  <c r="AE33" i="9"/>
  <c r="AK13" i="8"/>
  <c r="AL13" i="8"/>
  <c r="AB24" i="8"/>
  <c r="AB21" i="8"/>
  <c r="AM15" i="8"/>
  <c r="AM27" i="8"/>
  <c r="AL27" i="8"/>
  <c r="AJ26" i="8"/>
  <c r="AI26" i="8"/>
  <c r="AL26" i="8"/>
  <c r="AM31" i="9"/>
  <c r="Q31" i="9"/>
  <c r="AN31" i="9"/>
  <c r="X31" i="9"/>
  <c r="Y31" i="9"/>
  <c r="U31" i="9"/>
  <c r="S31" i="9"/>
  <c r="AA31" i="9"/>
  <c r="AJ31" i="9"/>
  <c r="AK31" i="9"/>
  <c r="Z31" i="9"/>
  <c r="R31" i="9"/>
  <c r="T31" i="9"/>
  <c r="V31" i="9"/>
  <c r="W31" i="9"/>
  <c r="Q30" i="9"/>
  <c r="AN30" i="9"/>
  <c r="AM30" i="9"/>
  <c r="W30" i="9"/>
  <c r="AJ30" i="9"/>
  <c r="AK30" i="9"/>
  <c r="U30" i="9"/>
  <c r="T30" i="9"/>
  <c r="AA30" i="9"/>
  <c r="Z30" i="9"/>
  <c r="S30" i="9"/>
  <c r="X30" i="9"/>
  <c r="V30" i="9"/>
  <c r="Y30" i="9"/>
  <c r="R30" i="9"/>
  <c r="AN28" i="9"/>
  <c r="AM28" i="9"/>
  <c r="Q28" i="9"/>
  <c r="S28" i="9"/>
  <c r="W28" i="9"/>
  <c r="U28" i="9"/>
  <c r="AJ28" i="9"/>
  <c r="AK28" i="9"/>
  <c r="T28" i="9"/>
  <c r="Z28" i="9"/>
  <c r="R28" i="9"/>
  <c r="AA28" i="9"/>
  <c r="X28" i="9"/>
  <c r="V28" i="9"/>
  <c r="Y28" i="9"/>
  <c r="AN36" i="9"/>
  <c r="AN40" i="9"/>
  <c r="AN44" i="9"/>
  <c r="AN37" i="9"/>
  <c r="AN41" i="9"/>
  <c r="AN34" i="9"/>
  <c r="AN38" i="9"/>
  <c r="AN42" i="9"/>
  <c r="AN35" i="9"/>
  <c r="AN39" i="9"/>
  <c r="AN43" i="9"/>
  <c r="AJ26" i="9"/>
  <c r="AK26" i="9"/>
  <c r="U26" i="9"/>
  <c r="T26" i="9"/>
  <c r="AA26" i="9"/>
  <c r="Z26" i="9"/>
  <c r="S26" i="9"/>
  <c r="X26" i="9"/>
  <c r="V26" i="9"/>
  <c r="Y26" i="9"/>
  <c r="W26" i="9"/>
  <c r="AM35" i="9"/>
  <c r="AM39" i="9"/>
  <c r="AM43" i="9"/>
  <c r="AM36" i="9"/>
  <c r="AM40" i="9"/>
  <c r="AM44" i="9"/>
  <c r="AM37" i="9"/>
  <c r="AM41" i="9"/>
  <c r="AM34" i="9"/>
  <c r="AM38" i="9"/>
  <c r="AM42" i="9"/>
  <c r="AA25" i="9"/>
  <c r="Z25" i="9"/>
  <c r="X25" i="9"/>
  <c r="V25" i="9"/>
  <c r="Y25" i="9"/>
  <c r="W25" i="9"/>
  <c r="AJ25" i="9"/>
  <c r="AK25" i="9"/>
  <c r="U25" i="9"/>
  <c r="AL12" i="8"/>
  <c r="AB31" i="9"/>
  <c r="AB33" i="9"/>
  <c r="AF26" i="9"/>
  <c r="AF29" i="9"/>
  <c r="AG28" i="9"/>
  <c r="AG31" i="9"/>
  <c r="AH30" i="9"/>
  <c r="AH33" i="9"/>
  <c r="AH27" i="9"/>
  <c r="AI32" i="9"/>
  <c r="AI25" i="9"/>
  <c r="AD23" i="8"/>
  <c r="AD22" i="8"/>
  <c r="AK16" i="8"/>
  <c r="AM17" i="8"/>
  <c r="AE25" i="8"/>
  <c r="AE21" i="8"/>
  <c r="AL17" i="8"/>
  <c r="AF22" i="8"/>
  <c r="AL19" i="8"/>
  <c r="AG22" i="8"/>
  <c r="AI19" i="8"/>
  <c r="AC32" i="9"/>
  <c r="AD27" i="9"/>
  <c r="AD29" i="9"/>
  <c r="AE26" i="9"/>
  <c r="AE29" i="9"/>
  <c r="AI13" i="8"/>
  <c r="AE41" i="8" s="1"/>
  <c r="AA25" i="8"/>
  <c r="AA22" i="8"/>
  <c r="AI15" i="8"/>
  <c r="AI27" i="8"/>
  <c r="X41" i="8" s="1"/>
  <c r="AL29" i="8"/>
  <c r="AL33" i="8"/>
  <c r="AL24" i="8"/>
  <c r="Q24" i="8"/>
  <c r="AL30" i="8"/>
  <c r="AL34" i="8"/>
  <c r="AI24" i="8"/>
  <c r="AM24" i="8"/>
  <c r="AL31" i="8"/>
  <c r="AL35" i="8"/>
  <c r="AJ24" i="8"/>
  <c r="AN24" i="8"/>
  <c r="AL28" i="8"/>
  <c r="AL32" i="8"/>
  <c r="AL36" i="8"/>
  <c r="AK24" i="8"/>
  <c r="AL10" i="8"/>
  <c r="AL11" i="8"/>
  <c r="Y24" i="8"/>
  <c r="X24" i="8"/>
  <c r="AL7" i="8"/>
  <c r="W24" i="8"/>
  <c r="R24" i="8"/>
  <c r="AL6" i="8"/>
  <c r="T24" i="8"/>
  <c r="S24" i="8"/>
  <c r="AL8" i="8"/>
  <c r="V24" i="8"/>
  <c r="U24" i="8"/>
  <c r="AL4" i="8"/>
  <c r="AL5" i="8"/>
  <c r="AL9" i="8"/>
  <c r="AJ31" i="8"/>
  <c r="AJ35" i="8"/>
  <c r="AL22" i="8"/>
  <c r="AJ28" i="8"/>
  <c r="AJ32" i="8"/>
  <c r="AJ36" i="8"/>
  <c r="AI22" i="8"/>
  <c r="AM22" i="8"/>
  <c r="AJ29" i="8"/>
  <c r="AJ33" i="8"/>
  <c r="AJ22" i="8"/>
  <c r="AN22" i="8"/>
  <c r="Q22" i="8"/>
  <c r="AJ30" i="8"/>
  <c r="AJ34" i="8"/>
  <c r="AK22" i="8"/>
  <c r="S41" i="8" s="1"/>
  <c r="X22" i="8"/>
  <c r="AJ11" i="8"/>
  <c r="Y22" i="8"/>
  <c r="AJ10" i="8"/>
  <c r="T22" i="8"/>
  <c r="R22" i="8"/>
  <c r="AJ8" i="8"/>
  <c r="AJ7" i="8"/>
  <c r="AJ4" i="8"/>
  <c r="AJ6" i="8"/>
  <c r="AJ5" i="8"/>
  <c r="U22" i="8"/>
  <c r="AJ9" i="8"/>
  <c r="S22" i="8"/>
  <c r="V22" i="8"/>
  <c r="W22" i="8"/>
  <c r="AM30" i="8"/>
  <c r="AM34" i="8"/>
  <c r="AJ25" i="8"/>
  <c r="AN25" i="8"/>
  <c r="AM31" i="8"/>
  <c r="AM35" i="8"/>
  <c r="AK25" i="8"/>
  <c r="Q25" i="8"/>
  <c r="AM28" i="8"/>
  <c r="AM32" i="8"/>
  <c r="AM36" i="8"/>
  <c r="AL25" i="8"/>
  <c r="AM29" i="8"/>
  <c r="AM33" i="8"/>
  <c r="AI25" i="8"/>
  <c r="AM25" i="8"/>
  <c r="AM10" i="8"/>
  <c r="X25" i="8"/>
  <c r="AM11" i="8"/>
  <c r="Y25" i="8"/>
  <c r="AM6" i="8"/>
  <c r="AM5" i="8"/>
  <c r="W25" i="8"/>
  <c r="AM7" i="8"/>
  <c r="AM9" i="8"/>
  <c r="AM4" i="8"/>
  <c r="T25" i="8"/>
  <c r="S25" i="8"/>
  <c r="U25" i="8"/>
  <c r="AM8" i="8"/>
  <c r="V25" i="8"/>
  <c r="R25" i="8"/>
  <c r="AK28" i="8"/>
  <c r="AK32" i="8"/>
  <c r="AK36" i="8"/>
  <c r="AJ23" i="8"/>
  <c r="AN23" i="8"/>
  <c r="AK29" i="8"/>
  <c r="AK33" i="8"/>
  <c r="AK23" i="8"/>
  <c r="AK30" i="8"/>
  <c r="AK34" i="8"/>
  <c r="AL23" i="8"/>
  <c r="AK31" i="8"/>
  <c r="AK35" i="8"/>
  <c r="AI23" i="8"/>
  <c r="AM23" i="8"/>
  <c r="Q23" i="8"/>
  <c r="Y23" i="8"/>
  <c r="X23" i="8"/>
  <c r="AK10" i="8"/>
  <c r="AK11" i="8"/>
  <c r="S23" i="8"/>
  <c r="V23" i="8"/>
  <c r="W23" i="8"/>
  <c r="T23" i="8"/>
  <c r="AK4" i="8"/>
  <c r="AK8" i="8"/>
  <c r="R23" i="8"/>
  <c r="AK6" i="8"/>
  <c r="AK5" i="8"/>
  <c r="U23" i="8"/>
  <c r="AK7" i="8"/>
  <c r="AK9" i="8"/>
  <c r="Z24" i="8"/>
  <c r="AB27" i="9"/>
  <c r="AF25" i="9"/>
  <c r="AF32" i="9"/>
  <c r="AG30" i="9"/>
  <c r="AG33" i="9"/>
  <c r="AH26" i="9"/>
  <c r="AI28" i="9"/>
  <c r="AI31" i="9"/>
  <c r="AD21" i="8"/>
  <c r="AI16" i="8"/>
  <c r="AI17" i="8"/>
  <c r="AE24" i="8"/>
  <c r="AJ17" i="8"/>
  <c r="R41" i="8" s="1"/>
  <c r="AL18" i="8"/>
  <c r="AF25" i="8"/>
  <c r="AF21" i="8"/>
  <c r="AG23" i="8"/>
  <c r="AK19" i="8"/>
  <c r="AC31" i="9"/>
  <c r="AC28" i="9"/>
  <c r="AC30" i="9"/>
  <c r="AD30" i="9"/>
  <c r="AD25" i="9"/>
  <c r="AD32" i="9"/>
  <c r="AE25" i="9"/>
  <c r="AM13" i="8"/>
  <c r="AA21" i="8"/>
  <c r="AB22" i="8"/>
  <c r="AL14" i="8"/>
  <c r="AC24" i="8"/>
  <c r="AC23" i="8"/>
  <c r="AK15" i="8"/>
  <c r="AN32" i="9"/>
  <c r="AM32" i="9"/>
  <c r="Q32" i="9"/>
  <c r="AA32" i="9"/>
  <c r="X32" i="9"/>
  <c r="V32" i="9"/>
  <c r="Y32" i="9"/>
  <c r="S32" i="9"/>
  <c r="W32" i="9"/>
  <c r="U32" i="9"/>
  <c r="AJ32" i="9"/>
  <c r="AK32" i="9"/>
  <c r="T32" i="9"/>
  <c r="Z32" i="9"/>
  <c r="R32" i="9"/>
  <c r="Q29" i="9"/>
  <c r="AN29" i="9"/>
  <c r="AM29" i="9"/>
  <c r="AJ29" i="9"/>
  <c r="AK29" i="9"/>
  <c r="U29" i="9"/>
  <c r="AA29" i="9"/>
  <c r="Z29" i="9"/>
  <c r="X29" i="9"/>
  <c r="V29" i="9"/>
  <c r="Y29" i="9"/>
  <c r="S29" i="9"/>
  <c r="R29" i="9"/>
  <c r="T29" i="9"/>
  <c r="W29" i="9"/>
  <c r="AO29" i="9"/>
  <c r="AO33" i="9"/>
  <c r="AO37" i="9"/>
  <c r="AO41" i="9"/>
  <c r="AO30" i="9"/>
  <c r="AO34" i="9"/>
  <c r="AO38" i="9"/>
  <c r="AO42" i="9"/>
  <c r="AO31" i="9"/>
  <c r="AO35" i="9"/>
  <c r="AO39" i="9"/>
  <c r="AO43" i="9"/>
  <c r="Q27" i="9"/>
  <c r="AO32" i="9"/>
  <c r="AO36" i="9"/>
  <c r="AO40" i="9"/>
  <c r="AO44" i="9"/>
  <c r="Z27" i="9"/>
  <c r="AJ27" i="9"/>
  <c r="AK27" i="9"/>
  <c r="V27" i="9"/>
  <c r="W27" i="9"/>
  <c r="R27" i="9"/>
  <c r="T27" i="9"/>
  <c r="AA27" i="9"/>
  <c r="X27" i="9"/>
  <c r="U27" i="9"/>
  <c r="Y27" i="9"/>
  <c r="S27" i="9"/>
  <c r="Q33" i="9"/>
  <c r="AN33" i="9"/>
  <c r="AM33" i="9"/>
  <c r="T33" i="9"/>
  <c r="W33" i="9"/>
  <c r="AJ33" i="9"/>
  <c r="AK33" i="9"/>
  <c r="U33" i="9"/>
  <c r="AA33" i="9"/>
  <c r="Z33" i="9"/>
  <c r="X33" i="9"/>
  <c r="V33" i="9"/>
  <c r="Y33" i="9"/>
  <c r="S33" i="9"/>
  <c r="R33" i="9"/>
  <c r="Z22" i="8"/>
  <c r="AK12" i="8"/>
  <c r="AJ12" i="8"/>
  <c r="Z25" i="8"/>
  <c r="AM12" i="8"/>
  <c r="AB29" i="9"/>
  <c r="AB30" i="9"/>
  <c r="AB25" i="9"/>
  <c r="AB32" i="9"/>
  <c r="AF28" i="9"/>
  <c r="AF31" i="9"/>
  <c r="AG26" i="9"/>
  <c r="AG29" i="9"/>
  <c r="AH25" i="9"/>
  <c r="AH32" i="9"/>
  <c r="AI27" i="9"/>
  <c r="AI30" i="9"/>
  <c r="AI33" i="9"/>
  <c r="AJ16" i="8"/>
  <c r="AM16" i="8"/>
  <c r="AE23" i="8"/>
  <c r="AK18" i="8"/>
  <c r="AF24" i="8"/>
  <c r="AM18" i="8"/>
  <c r="AG21" i="8"/>
  <c r="AC26" i="9"/>
  <c r="AC29" i="9"/>
  <c r="AD28" i="9"/>
  <c r="AE31" i="9"/>
  <c r="AE28" i="9"/>
  <c r="AA23" i="8"/>
  <c r="AA24" i="8"/>
  <c r="AJ13" i="8"/>
  <c r="AI14" i="8"/>
  <c r="AJ14" i="8"/>
  <c r="AM14" i="8"/>
  <c r="AK14" i="8"/>
  <c r="AB25" i="8"/>
  <c r="AC22" i="8"/>
  <c r="AC21" i="8"/>
  <c r="AK27" i="8"/>
  <c r="AJ27" i="8"/>
  <c r="AK26" i="8"/>
  <c r="AM26" i="8"/>
  <c r="AC20" i="8"/>
  <c r="AL29" i="9"/>
  <c r="AL33" i="9"/>
  <c r="AL37" i="9"/>
  <c r="AL41" i="9"/>
  <c r="AL35" i="9"/>
  <c r="AL43" i="9"/>
  <c r="AL32" i="9"/>
  <c r="AL40" i="9"/>
  <c r="AL30" i="9"/>
  <c r="AL34" i="9"/>
  <c r="AL38" i="9"/>
  <c r="AL42" i="9"/>
  <c r="AL31" i="9"/>
  <c r="AL39" i="9"/>
  <c r="AL28" i="9"/>
  <c r="AL44" i="9"/>
  <c r="AL36" i="9"/>
  <c r="Z20" i="8"/>
  <c r="AH12" i="8"/>
  <c r="AH17" i="8"/>
  <c r="AI24" i="9"/>
  <c r="AD20" i="8"/>
  <c r="AH16" i="8"/>
  <c r="AH18" i="8"/>
  <c r="AG24" i="9"/>
  <c r="AH24" i="9"/>
  <c r="AF20" i="8"/>
  <c r="AH19" i="8"/>
  <c r="AG41" i="8" s="1"/>
  <c r="AA20" i="8"/>
  <c r="AH13" i="8"/>
  <c r="AH14" i="8"/>
  <c r="AH31" i="8"/>
  <c r="AH35" i="8"/>
  <c r="AJ20" i="8"/>
  <c r="AN20" i="8"/>
  <c r="AH22" i="8"/>
  <c r="AH26" i="8"/>
  <c r="AH29" i="8"/>
  <c r="AH20" i="8"/>
  <c r="AH24" i="8"/>
  <c r="AH34" i="8"/>
  <c r="AM20" i="8"/>
  <c r="AH28" i="8"/>
  <c r="AH32" i="8"/>
  <c r="AH36" i="8"/>
  <c r="AK20" i="8"/>
  <c r="AH21" i="8"/>
  <c r="AH25" i="8"/>
  <c r="AH33" i="8"/>
  <c r="AL20" i="8"/>
  <c r="Q20" i="8"/>
  <c r="AH30" i="8"/>
  <c r="AH23" i="8"/>
  <c r="AH27" i="8"/>
  <c r="AI20" i="8"/>
  <c r="Y20" i="8"/>
  <c r="AH11" i="8"/>
  <c r="AH10" i="8"/>
  <c r="X20" i="8"/>
  <c r="W20" i="8"/>
  <c r="AH6" i="8"/>
  <c r="AH5" i="8"/>
  <c r="S20" i="8"/>
  <c r="AH8" i="8"/>
  <c r="U20" i="8"/>
  <c r="T20" i="8"/>
  <c r="AH7" i="8"/>
  <c r="AH4" i="8"/>
  <c r="V20" i="8"/>
  <c r="AH9" i="8"/>
  <c r="R20" i="8"/>
  <c r="AF24" i="9"/>
  <c r="AE20" i="8"/>
  <c r="AG20" i="8"/>
  <c r="AE24" i="9"/>
  <c r="AB20" i="8"/>
  <c r="AH15" i="8"/>
  <c r="W27" i="6"/>
  <c r="D30" i="6" s="1"/>
  <c r="X27" i="6"/>
  <c r="D31" i="6" s="1"/>
  <c r="AO35" i="7"/>
  <c r="C56" i="7" s="1"/>
  <c r="AJ35" i="7"/>
  <c r="C51" i="7" s="1"/>
  <c r="AN35" i="7"/>
  <c r="C55" i="7" s="1"/>
  <c r="AE35" i="7"/>
  <c r="C46" i="7" s="1"/>
  <c r="AC35" i="7"/>
  <c r="C44" i="7" s="1"/>
  <c r="AA25" i="7"/>
  <c r="AZ16" i="9"/>
  <c r="BC18" i="9"/>
  <c r="AZ34" i="9"/>
  <c r="BD34" i="9"/>
  <c r="BA34" i="9"/>
  <c r="BE34" i="9"/>
  <c r="BE50" i="9"/>
  <c r="BB34" i="9"/>
  <c r="BC34" i="9"/>
  <c r="AX34" i="9"/>
  <c r="AY34" i="9"/>
  <c r="AV34" i="9"/>
  <c r="AV3" i="9"/>
  <c r="AW34" i="9"/>
  <c r="AV44" i="9"/>
  <c r="BF34" i="9"/>
  <c r="AV7" i="9"/>
  <c r="AV5" i="9"/>
  <c r="AV12" i="9"/>
  <c r="AV23" i="9"/>
  <c r="AV11" i="9"/>
  <c r="AV4" i="9"/>
  <c r="AV10" i="9"/>
  <c r="AV22" i="9"/>
  <c r="AV6" i="9"/>
  <c r="AV13" i="9"/>
  <c r="AV8" i="9"/>
  <c r="AV9" i="9"/>
  <c r="AV42" i="9"/>
  <c r="AV15" i="9"/>
  <c r="AV17" i="9"/>
  <c r="AV14" i="9"/>
  <c r="AV16" i="9"/>
  <c r="AV43" i="9"/>
  <c r="AV18" i="9"/>
  <c r="AV21" i="9"/>
  <c r="AV19" i="9"/>
  <c r="AV20" i="9"/>
  <c r="BA35" i="9"/>
  <c r="BE35" i="9"/>
  <c r="AV50" i="9"/>
  <c r="BB35" i="9"/>
  <c r="AY35" i="9"/>
  <c r="BC35" i="9"/>
  <c r="AZ35" i="9"/>
  <c r="AX35" i="9"/>
  <c r="Z49" i="9" s="1"/>
  <c r="BD35" i="9"/>
  <c r="AW35" i="9"/>
  <c r="BF35" i="9"/>
  <c r="AW44" i="9"/>
  <c r="AV35" i="9"/>
  <c r="AW3" i="9"/>
  <c r="AW22" i="9"/>
  <c r="AW11" i="9"/>
  <c r="AW4" i="9"/>
  <c r="AW13" i="9"/>
  <c r="AW10" i="9"/>
  <c r="AW23" i="9"/>
  <c r="AW5" i="9"/>
  <c r="AW12" i="9"/>
  <c r="AW7" i="9"/>
  <c r="AW6" i="9"/>
  <c r="AW9" i="9"/>
  <c r="AW8" i="9"/>
  <c r="AW15" i="9"/>
  <c r="AW42" i="9"/>
  <c r="AW17" i="9"/>
  <c r="AW16" i="9"/>
  <c r="AW14" i="9"/>
  <c r="AW21" i="9"/>
  <c r="AW19" i="9"/>
  <c r="AW20" i="9"/>
  <c r="AY50" i="9"/>
  <c r="BB36" i="9"/>
  <c r="AY36" i="9"/>
  <c r="BC36" i="9"/>
  <c r="AX36" i="9"/>
  <c r="AX44" i="9"/>
  <c r="AW36" i="9"/>
  <c r="AZ36" i="9"/>
  <c r="BD36" i="9"/>
  <c r="AX3" i="9"/>
  <c r="BE36" i="9"/>
  <c r="BA36" i="9"/>
  <c r="AV36" i="9"/>
  <c r="BF36" i="9"/>
  <c r="AX4" i="9"/>
  <c r="AX9" i="9"/>
  <c r="AX13" i="9"/>
  <c r="AX7" i="9"/>
  <c r="AX23" i="9"/>
  <c r="AX22" i="9"/>
  <c r="AX11" i="9"/>
  <c r="AX5" i="9"/>
  <c r="AX10" i="9"/>
  <c r="AX8" i="9"/>
  <c r="AX12" i="9"/>
  <c r="AX6" i="9"/>
  <c r="AX43" i="9"/>
  <c r="AX16" i="9"/>
  <c r="AX17" i="9"/>
  <c r="AX21" i="9"/>
  <c r="AX18" i="9"/>
  <c r="AX15" i="9"/>
  <c r="AX20" i="9"/>
  <c r="AX19" i="9"/>
  <c r="BF37" i="9"/>
  <c r="AZ50" i="9"/>
  <c r="AZ37" i="9"/>
  <c r="BD37" i="9"/>
  <c r="AY44" i="9"/>
  <c r="BA37" i="9"/>
  <c r="BE37" i="9"/>
  <c r="AY3" i="9"/>
  <c r="AX37" i="9"/>
  <c r="AV37" i="9"/>
  <c r="BB37" i="9"/>
  <c r="BC37" i="9"/>
  <c r="AY37" i="9"/>
  <c r="AW37" i="9"/>
  <c r="AY23" i="9"/>
  <c r="AY7" i="9"/>
  <c r="AY13" i="9"/>
  <c r="AY5" i="9"/>
  <c r="AY22" i="9"/>
  <c r="AY11" i="9"/>
  <c r="AY9" i="9"/>
  <c r="AY12" i="9"/>
  <c r="AY10" i="9"/>
  <c r="AY8" i="9"/>
  <c r="AY4" i="9"/>
  <c r="AY6" i="9"/>
  <c r="AY43" i="9"/>
  <c r="AY42" i="9"/>
  <c r="AY17" i="9"/>
  <c r="AY15" i="9"/>
  <c r="AY21" i="9"/>
  <c r="AY14" i="9"/>
  <c r="AY19" i="9"/>
  <c r="AY18" i="9"/>
  <c r="AY20" i="9"/>
  <c r="AW18" i="9"/>
  <c r="BC19" i="9"/>
  <c r="AX42" i="9"/>
  <c r="AW43" i="9"/>
  <c r="BC50" i="9"/>
  <c r="BF38" i="9"/>
  <c r="BA38" i="9"/>
  <c r="BE38" i="9"/>
  <c r="AZ3" i="9"/>
  <c r="BB38" i="9"/>
  <c r="AZ44" i="9"/>
  <c r="AV38" i="9"/>
  <c r="AY38" i="9"/>
  <c r="AX38" i="9"/>
  <c r="AZ38" i="9"/>
  <c r="BC38" i="9"/>
  <c r="AW38" i="9"/>
  <c r="BD38" i="9"/>
  <c r="AZ4" i="9"/>
  <c r="AZ9" i="9"/>
  <c r="AZ22" i="9"/>
  <c r="AZ7" i="9"/>
  <c r="AZ5" i="9"/>
  <c r="AZ6" i="9"/>
  <c r="AZ10" i="9"/>
  <c r="AZ23" i="9"/>
  <c r="AZ11" i="9"/>
  <c r="AZ13" i="9"/>
  <c r="AZ8" i="9"/>
  <c r="AZ12" i="9"/>
  <c r="AZ14" i="9"/>
  <c r="AZ42" i="9"/>
  <c r="AZ17" i="9"/>
  <c r="AZ15" i="9"/>
  <c r="AZ18" i="9"/>
  <c r="AZ20" i="9"/>
  <c r="AZ43" i="9"/>
  <c r="AY40" i="9"/>
  <c r="BC40" i="9"/>
  <c r="BB3" i="9"/>
  <c r="AX40" i="9"/>
  <c r="AW40" i="9"/>
  <c r="AZ40" i="9"/>
  <c r="BD40" i="9"/>
  <c r="BA40" i="9"/>
  <c r="BB40" i="9"/>
  <c r="AV40" i="9"/>
  <c r="AX50" i="9"/>
  <c r="BF40" i="9"/>
  <c r="BE40" i="9"/>
  <c r="BB44" i="9"/>
  <c r="BB22" i="9"/>
  <c r="BB4" i="9"/>
  <c r="BB12" i="9"/>
  <c r="BB10" i="9"/>
  <c r="BB23" i="9"/>
  <c r="BB5" i="9"/>
  <c r="BB6" i="9"/>
  <c r="BB11" i="9"/>
  <c r="BB13" i="9"/>
  <c r="BB7" i="9"/>
  <c r="BB9" i="9"/>
  <c r="BB8" i="9"/>
  <c r="BB15" i="9"/>
  <c r="BB43" i="9"/>
  <c r="BB17" i="9"/>
  <c r="BB16" i="9"/>
  <c r="BB14" i="9"/>
  <c r="BB19" i="9"/>
  <c r="BB42" i="9"/>
  <c r="BB21" i="9"/>
  <c r="BB20" i="9"/>
  <c r="BB39" i="9"/>
  <c r="AV39" i="9"/>
  <c r="AW50" i="9"/>
  <c r="BF39" i="9"/>
  <c r="AY39" i="9"/>
  <c r="BC39" i="9"/>
  <c r="AW39" i="9"/>
  <c r="AZ39" i="9"/>
  <c r="AD49" i="9" s="1"/>
  <c r="BD39" i="9"/>
  <c r="BA44" i="9"/>
  <c r="BE39" i="9"/>
  <c r="BA39" i="9"/>
  <c r="BA3" i="9"/>
  <c r="AX39" i="9"/>
  <c r="BA11" i="9"/>
  <c r="BA12" i="9"/>
  <c r="BA23" i="9"/>
  <c r="BA5" i="9"/>
  <c r="BA6" i="9"/>
  <c r="BA9" i="9"/>
  <c r="BA13" i="9"/>
  <c r="BA22" i="9"/>
  <c r="BA7" i="9"/>
  <c r="BA8" i="9"/>
  <c r="BA4" i="9"/>
  <c r="BA10" i="9"/>
  <c r="BA16" i="9"/>
  <c r="BA15" i="9"/>
  <c r="BA43" i="9"/>
  <c r="BA17" i="9"/>
  <c r="BA19" i="9"/>
  <c r="BA42" i="9"/>
  <c r="BA20" i="9"/>
  <c r="BA14" i="9"/>
  <c r="BA21" i="9"/>
  <c r="BF41" i="9"/>
  <c r="AZ41" i="9"/>
  <c r="BD41" i="9"/>
  <c r="BC44" i="9"/>
  <c r="BA41" i="9"/>
  <c r="AC49" i="9" s="1"/>
  <c r="BE41" i="9"/>
  <c r="BC3" i="9"/>
  <c r="AX41" i="9"/>
  <c r="BB41" i="9"/>
  <c r="AV41" i="9"/>
  <c r="BB50" i="9"/>
  <c r="AY41" i="9"/>
  <c r="AW41" i="9"/>
  <c r="BC41" i="9"/>
  <c r="BC22" i="9"/>
  <c r="BC11" i="9"/>
  <c r="BC4" i="9"/>
  <c r="BC10" i="9"/>
  <c r="BC23" i="9"/>
  <c r="BC7" i="9"/>
  <c r="BC13" i="9"/>
  <c r="BC6" i="9"/>
  <c r="BC9" i="9"/>
  <c r="BC12" i="9"/>
  <c r="BC5" i="9"/>
  <c r="BC8" i="9"/>
  <c r="BC15" i="9"/>
  <c r="BC43" i="9"/>
  <c r="BC42" i="9"/>
  <c r="BC14" i="9"/>
  <c r="BC16" i="9"/>
  <c r="BC17" i="9"/>
  <c r="BC20" i="9"/>
  <c r="BC21" i="9"/>
  <c r="BA18" i="9"/>
  <c r="AZ19" i="9"/>
  <c r="AX14" i="9"/>
  <c r="AY16" i="9"/>
  <c r="AT17" i="9"/>
  <c r="BB18" i="9"/>
  <c r="AZ21" i="9"/>
  <c r="AS15" i="9"/>
  <c r="X49" i="9" s="1"/>
  <c r="AR16" i="9"/>
  <c r="AN17" i="9"/>
  <c r="I33" i="5"/>
  <c r="P37" i="5" s="1"/>
  <c r="BA28" i="9"/>
  <c r="BE28" i="9"/>
  <c r="AK50" i="9"/>
  <c r="AP39" i="9"/>
  <c r="AP41" i="9"/>
  <c r="AP38" i="9"/>
  <c r="AP42" i="9"/>
  <c r="AY28" i="9"/>
  <c r="BD28" i="9"/>
  <c r="AZ28" i="9"/>
  <c r="AP40" i="9"/>
  <c r="BB28" i="9"/>
  <c r="AX28" i="9"/>
  <c r="BC28" i="9"/>
  <c r="AP37" i="9"/>
  <c r="AP43" i="9"/>
  <c r="AP36" i="9"/>
  <c r="AR28" i="9"/>
  <c r="AP3" i="9"/>
  <c r="AS28" i="9"/>
  <c r="AV28" i="9"/>
  <c r="AW28" i="9"/>
  <c r="AQ28" i="9"/>
  <c r="AP28" i="9"/>
  <c r="AP44" i="9"/>
  <c r="AU28" i="9"/>
  <c r="AT28" i="9"/>
  <c r="AP35" i="9"/>
  <c r="BF28" i="9"/>
  <c r="AP34" i="9"/>
  <c r="AP7" i="9"/>
  <c r="AP11" i="9"/>
  <c r="AP9" i="9"/>
  <c r="AP4" i="9"/>
  <c r="AP8" i="9"/>
  <c r="AP23" i="9"/>
  <c r="AP22" i="9"/>
  <c r="AP13" i="9"/>
  <c r="AP5" i="9"/>
  <c r="AP6" i="9"/>
  <c r="AP12" i="9"/>
  <c r="AP10" i="9"/>
  <c r="BB25" i="9"/>
  <c r="AX25" i="9"/>
  <c r="AS50" i="9"/>
  <c r="AY25" i="9"/>
  <c r="BD25" i="9"/>
  <c r="AZ25" i="9"/>
  <c r="BA25" i="9"/>
  <c r="BC25" i="9"/>
  <c r="AB49" i="9" s="1"/>
  <c r="BE25" i="9"/>
  <c r="AM25" i="9"/>
  <c r="AR25" i="9"/>
  <c r="Q25" i="9"/>
  <c r="AM3" i="9"/>
  <c r="BF25" i="9"/>
  <c r="AO25" i="9"/>
  <c r="AS25" i="9"/>
  <c r="AQ25" i="9"/>
  <c r="AT25" i="9"/>
  <c r="AU25" i="9"/>
  <c r="AV25" i="9"/>
  <c r="AW25" i="9"/>
  <c r="AN25" i="9"/>
  <c r="AP25" i="9"/>
  <c r="AM22" i="9"/>
  <c r="T25" i="9"/>
  <c r="AM11" i="9"/>
  <c r="AM4" i="9"/>
  <c r="AM12" i="9"/>
  <c r="AM5" i="9"/>
  <c r="AM9" i="9"/>
  <c r="AM8" i="9"/>
  <c r="AM23" i="9"/>
  <c r="AM7" i="9"/>
  <c r="S25" i="9"/>
  <c r="AM6" i="9"/>
  <c r="R25" i="9"/>
  <c r="AM13" i="9"/>
  <c r="AM10" i="9"/>
  <c r="AD24" i="9"/>
  <c r="I32" i="5"/>
  <c r="O37" i="5" s="1"/>
  <c r="AP20" i="9"/>
  <c r="AS18" i="9"/>
  <c r="AQ21" i="9"/>
  <c r="AT21" i="9"/>
  <c r="AS21" i="9"/>
  <c r="AS14" i="9"/>
  <c r="AC25" i="9"/>
  <c r="AU15" i="9"/>
  <c r="AP15" i="9"/>
  <c r="AR15" i="9"/>
  <c r="AS16" i="9"/>
  <c r="AT16" i="9"/>
  <c r="AY30" i="9"/>
  <c r="BC30" i="9"/>
  <c r="AZ30" i="9"/>
  <c r="AR42" i="9"/>
  <c r="AR39" i="9"/>
  <c r="AR43" i="9"/>
  <c r="BA30" i="9"/>
  <c r="BB30" i="9"/>
  <c r="AR41" i="9"/>
  <c r="AJ50" i="9"/>
  <c r="BD30" i="9"/>
  <c r="BE30" i="9"/>
  <c r="AX30" i="9"/>
  <c r="AR36" i="9"/>
  <c r="AR38" i="9"/>
  <c r="AR40" i="9"/>
  <c r="AR37" i="9"/>
  <c r="AU30" i="9"/>
  <c r="AS30" i="9"/>
  <c r="AP30" i="9"/>
  <c r="AR35" i="9"/>
  <c r="BF30" i="9"/>
  <c r="AR30" i="9"/>
  <c r="AQ30" i="9"/>
  <c r="AR34" i="9"/>
  <c r="AR44" i="9"/>
  <c r="AR3" i="9"/>
  <c r="AT30" i="9"/>
  <c r="AW30" i="9"/>
  <c r="AV30" i="9"/>
  <c r="AR23" i="9"/>
  <c r="AR22" i="9"/>
  <c r="AR6" i="9"/>
  <c r="AR11" i="9"/>
  <c r="AR4" i="9"/>
  <c r="AR13" i="9"/>
  <c r="AR5" i="9"/>
  <c r="AR12" i="9"/>
  <c r="AR9" i="9"/>
  <c r="AR8" i="9"/>
  <c r="AR7" i="9"/>
  <c r="AR10" i="9"/>
  <c r="AS20" i="9"/>
  <c r="AT20" i="9"/>
  <c r="AO20" i="9"/>
  <c r="AU18" i="9"/>
  <c r="AQ18" i="9"/>
  <c r="AT19" i="9"/>
  <c r="AQ19" i="9"/>
  <c r="AU19" i="9"/>
  <c r="AP21" i="9"/>
  <c r="AQ14" i="9"/>
  <c r="AR14" i="9"/>
  <c r="AO14" i="9"/>
  <c r="AN15" i="9"/>
  <c r="AT15" i="9"/>
  <c r="AQ15" i="9"/>
  <c r="AQ16" i="9"/>
  <c r="AU16" i="9"/>
  <c r="AR17" i="9"/>
  <c r="AT50" i="9"/>
  <c r="AZ31" i="9"/>
  <c r="BD31" i="9"/>
  <c r="AS36" i="9"/>
  <c r="AS37" i="9"/>
  <c r="AS38" i="9"/>
  <c r="AS39" i="9"/>
  <c r="AS40" i="9"/>
  <c r="AS41" i="9"/>
  <c r="AS42" i="9"/>
  <c r="AS43" i="9"/>
  <c r="AY31" i="9"/>
  <c r="BE31" i="9"/>
  <c r="AX31" i="9"/>
  <c r="BB31" i="9"/>
  <c r="BC31" i="9"/>
  <c r="BA31" i="9"/>
  <c r="AT31" i="9"/>
  <c r="AR31" i="9"/>
  <c r="AS34" i="9"/>
  <c r="AQ31" i="9"/>
  <c r="AP31" i="9"/>
  <c r="AS31" i="9"/>
  <c r="AS3" i="9"/>
  <c r="AS35" i="9"/>
  <c r="AV31" i="9"/>
  <c r="AU31" i="9"/>
  <c r="BF31" i="9"/>
  <c r="AW31" i="9"/>
  <c r="Y49" i="9" s="1"/>
  <c r="AS44" i="9"/>
  <c r="AS7" i="9"/>
  <c r="AS5" i="9"/>
  <c r="AS4" i="9"/>
  <c r="AS12" i="9"/>
  <c r="AS23" i="9"/>
  <c r="AS6" i="9"/>
  <c r="AS22" i="9"/>
  <c r="AS11" i="9"/>
  <c r="AS9" i="9"/>
  <c r="AS13" i="9"/>
  <c r="AS10" i="9"/>
  <c r="AS8" i="9"/>
  <c r="AM50" i="9"/>
  <c r="AY26" i="9"/>
  <c r="BC26" i="9"/>
  <c r="BA26" i="9"/>
  <c r="BB26" i="9"/>
  <c r="AX26" i="9"/>
  <c r="BD26" i="9"/>
  <c r="AZ26" i="9"/>
  <c r="BE26" i="9"/>
  <c r="AP26" i="9"/>
  <c r="AW26" i="9"/>
  <c r="AN26" i="9"/>
  <c r="AN3" i="9"/>
  <c r="AS26" i="9"/>
  <c r="AV26" i="9"/>
  <c r="AR26" i="9"/>
  <c r="AU26" i="9"/>
  <c r="BF26" i="9"/>
  <c r="AQ26" i="9"/>
  <c r="AM26" i="9"/>
  <c r="AT26" i="9"/>
  <c r="Q26" i="9"/>
  <c r="AO26" i="9"/>
  <c r="AN7" i="9"/>
  <c r="AN5" i="9"/>
  <c r="AN6" i="9"/>
  <c r="AN23" i="9"/>
  <c r="AN22" i="9"/>
  <c r="AN11" i="9"/>
  <c r="R26" i="9"/>
  <c r="AN9" i="9"/>
  <c r="AN13" i="9"/>
  <c r="AN12" i="9"/>
  <c r="AN4" i="9"/>
  <c r="AN10" i="9"/>
  <c r="AN8" i="9"/>
  <c r="AM20" i="9"/>
  <c r="AN20" i="9"/>
  <c r="AU20" i="9"/>
  <c r="AO18" i="9"/>
  <c r="AP18" i="9"/>
  <c r="AP19" i="9"/>
  <c r="AO19" i="9"/>
  <c r="AR19" i="9"/>
  <c r="AN19" i="9"/>
  <c r="AU21" i="9"/>
  <c r="AR21" i="9"/>
  <c r="AM21" i="9"/>
  <c r="AN21" i="9"/>
  <c r="AM14" i="9"/>
  <c r="AT14" i="9"/>
  <c r="AN14" i="9"/>
  <c r="AL15" i="9"/>
  <c r="AM15" i="9"/>
  <c r="AN16" i="9"/>
  <c r="AP16" i="9"/>
  <c r="AE49" i="9" s="1"/>
  <c r="AP17" i="9"/>
  <c r="AM17" i="9"/>
  <c r="BA32" i="9"/>
  <c r="BE32" i="9"/>
  <c r="BB32" i="9"/>
  <c r="AX32" i="9"/>
  <c r="AL50" i="9"/>
  <c r="BC32" i="9"/>
  <c r="AT36" i="9"/>
  <c r="AT38" i="9"/>
  <c r="AT40" i="9"/>
  <c r="AT42" i="9"/>
  <c r="AY32" i="9"/>
  <c r="AZ32" i="9"/>
  <c r="AT37" i="9"/>
  <c r="AT39" i="9"/>
  <c r="AT41" i="9"/>
  <c r="AT43" i="9"/>
  <c r="BD32" i="9"/>
  <c r="AV32" i="9"/>
  <c r="AR32" i="9"/>
  <c r="BF32" i="9"/>
  <c r="AU32" i="9"/>
  <c r="AT34" i="9"/>
  <c r="AT32" i="9"/>
  <c r="AS32" i="9"/>
  <c r="AQ32" i="9"/>
  <c r="AW32" i="9"/>
  <c r="AT3" i="9"/>
  <c r="AP32" i="9"/>
  <c r="AT44" i="9"/>
  <c r="AT35" i="9"/>
  <c r="AT22" i="9"/>
  <c r="AT13" i="9"/>
  <c r="AT10" i="9"/>
  <c r="AT7" i="9"/>
  <c r="AT11" i="9"/>
  <c r="AT9" i="9"/>
  <c r="AT6" i="9"/>
  <c r="AT4" i="9"/>
  <c r="AT23" i="9"/>
  <c r="AT5" i="9"/>
  <c r="AT12" i="9"/>
  <c r="AT8" i="9"/>
  <c r="BB29" i="9"/>
  <c r="AX29" i="9"/>
  <c r="AY29" i="9"/>
  <c r="BC29" i="9"/>
  <c r="AQ37" i="9"/>
  <c r="AQ39" i="9"/>
  <c r="AQ41" i="9"/>
  <c r="AQ43" i="9"/>
  <c r="AR50" i="9"/>
  <c r="AZ29" i="9"/>
  <c r="BE29" i="9"/>
  <c r="AQ36" i="9"/>
  <c r="AQ38" i="9"/>
  <c r="AQ40" i="9"/>
  <c r="AQ42" i="9"/>
  <c r="BA29" i="9"/>
  <c r="BD29" i="9"/>
  <c r="AQ44" i="9"/>
  <c r="AW29" i="9"/>
  <c r="AQ29" i="9"/>
  <c r="AP29" i="9"/>
  <c r="AQ35" i="9"/>
  <c r="AR29" i="9"/>
  <c r="AS29" i="9"/>
  <c r="AU29" i="9"/>
  <c r="AT29" i="9"/>
  <c r="AQ34" i="9"/>
  <c r="AQ3" i="9"/>
  <c r="AV29" i="9"/>
  <c r="BF29" i="9"/>
  <c r="AQ7" i="9"/>
  <c r="AQ5" i="9"/>
  <c r="AQ11" i="9"/>
  <c r="AQ9" i="9"/>
  <c r="AQ6" i="9"/>
  <c r="AQ13" i="9"/>
  <c r="AQ23" i="9"/>
  <c r="AQ22" i="9"/>
  <c r="AQ4" i="9"/>
  <c r="AQ12" i="9"/>
  <c r="AQ10" i="9"/>
  <c r="AQ8" i="9"/>
  <c r="AZ27" i="9"/>
  <c r="BD27" i="9"/>
  <c r="BE27" i="9"/>
  <c r="BA27" i="9"/>
  <c r="AO50" i="9"/>
  <c r="BC27" i="9"/>
  <c r="AY27" i="9"/>
  <c r="BB27" i="9"/>
  <c r="AX27" i="9"/>
  <c r="AT27" i="9"/>
  <c r="AU27" i="9"/>
  <c r="AW27" i="9"/>
  <c r="AS27" i="9"/>
  <c r="AO3" i="9"/>
  <c r="AV27" i="9"/>
  <c r="AP27" i="9"/>
  <c r="AQ27" i="9"/>
  <c r="AO27" i="9"/>
  <c r="AM27" i="9"/>
  <c r="AO28" i="9"/>
  <c r="AN27" i="9"/>
  <c r="BF27" i="9"/>
  <c r="AR27" i="9"/>
  <c r="AO11" i="9"/>
  <c r="AO12" i="9"/>
  <c r="AO7" i="9"/>
  <c r="AO6" i="9"/>
  <c r="AO10" i="9"/>
  <c r="AO23" i="9"/>
  <c r="AO5" i="9"/>
  <c r="AO9" i="9"/>
  <c r="AO8" i="9"/>
  <c r="AO22" i="9"/>
  <c r="AO4" i="9"/>
  <c r="AO13" i="9"/>
  <c r="BB33" i="9"/>
  <c r="AX33" i="9"/>
  <c r="BE33" i="9"/>
  <c r="AU37" i="9"/>
  <c r="AU43" i="9"/>
  <c r="AU36" i="9"/>
  <c r="AU50" i="9"/>
  <c r="BA33" i="9"/>
  <c r="BC33" i="9"/>
  <c r="AU38" i="9"/>
  <c r="AY33" i="9"/>
  <c r="BD33" i="9"/>
  <c r="AZ33" i="9"/>
  <c r="AU39" i="9"/>
  <c r="AU41" i="9"/>
  <c r="AU40" i="9"/>
  <c r="AU42" i="9"/>
  <c r="AU3" i="9"/>
  <c r="AW33" i="9"/>
  <c r="BF33" i="9"/>
  <c r="AU44" i="9"/>
  <c r="AU33" i="9"/>
  <c r="AT33" i="9"/>
  <c r="AU35" i="9"/>
  <c r="AV33" i="9"/>
  <c r="AQ33" i="9"/>
  <c r="AP33" i="9"/>
  <c r="AU34" i="9"/>
  <c r="AS33" i="9"/>
  <c r="AR33" i="9"/>
  <c r="AU23" i="9"/>
  <c r="AU6" i="9"/>
  <c r="AU4" i="9"/>
  <c r="AU22" i="9"/>
  <c r="AU5" i="9"/>
  <c r="AU12" i="9"/>
  <c r="AU10" i="9"/>
  <c r="AU7" i="9"/>
  <c r="AU11" i="9"/>
  <c r="AU9" i="9"/>
  <c r="AU13" i="9"/>
  <c r="AU8" i="9"/>
  <c r="H33" i="5"/>
  <c r="P36" i="5" s="1"/>
  <c r="AR20" i="9"/>
  <c r="AQ20" i="9"/>
  <c r="AM18" i="9"/>
  <c r="AT18" i="9"/>
  <c r="AR18" i="9"/>
  <c r="AN18" i="9"/>
  <c r="AM19" i="9"/>
  <c r="AS19" i="9"/>
  <c r="AO21" i="9"/>
  <c r="AL14" i="9"/>
  <c r="AP14" i="9"/>
  <c r="AU14" i="9"/>
  <c r="AO15" i="9"/>
  <c r="AM16" i="9"/>
  <c r="AO16" i="9"/>
  <c r="AS17" i="9"/>
  <c r="AU17" i="9"/>
  <c r="AQ17" i="9"/>
  <c r="AO17" i="9"/>
  <c r="H32" i="5"/>
  <c r="O36" i="5" s="1"/>
  <c r="AL18" i="9"/>
  <c r="AL19" i="9"/>
  <c r="AL21" i="9"/>
  <c r="AC24" i="9"/>
  <c r="BA24" i="9"/>
  <c r="BE24" i="9"/>
  <c r="AX24" i="9"/>
  <c r="AZ24" i="9"/>
  <c r="AQ50" i="9"/>
  <c r="BB24" i="9"/>
  <c r="BD24" i="9"/>
  <c r="AY24" i="9"/>
  <c r="BC24" i="9"/>
  <c r="AW24" i="9"/>
  <c r="BF24" i="9"/>
  <c r="AO24" i="9"/>
  <c r="AL25" i="9"/>
  <c r="AL26" i="9"/>
  <c r="AV24" i="9"/>
  <c r="AQ24" i="9"/>
  <c r="AR24" i="9"/>
  <c r="AT24" i="9"/>
  <c r="AU24" i="9"/>
  <c r="AN24" i="9"/>
  <c r="AL3" i="9"/>
  <c r="Q24" i="9"/>
  <c r="AL24" i="9"/>
  <c r="AM24" i="9"/>
  <c r="AL27" i="9"/>
  <c r="AP24" i="9"/>
  <c r="AS24" i="9"/>
  <c r="AL22" i="9"/>
  <c r="AL5" i="9"/>
  <c r="AL11" i="9"/>
  <c r="R24" i="9"/>
  <c r="AL9" i="9"/>
  <c r="AL13" i="9"/>
  <c r="AL8" i="9"/>
  <c r="AL7" i="9"/>
  <c r="U24" i="9"/>
  <c r="T24" i="9"/>
  <c r="AA24" i="9"/>
  <c r="AL10" i="9"/>
  <c r="AK24" i="9"/>
  <c r="S24" i="9"/>
  <c r="W24" i="9"/>
  <c r="AL23" i="9"/>
  <c r="AL6" i="9"/>
  <c r="Z24" i="9"/>
  <c r="AL12" i="9"/>
  <c r="X24" i="9"/>
  <c r="V24" i="9"/>
  <c r="AJ24" i="9"/>
  <c r="Y24" i="9"/>
  <c r="AL4" i="9"/>
  <c r="AL16" i="9"/>
  <c r="AL20" i="9"/>
  <c r="AB24" i="9"/>
  <c r="AL17" i="9"/>
  <c r="Y41" i="8"/>
  <c r="AD41" i="8"/>
  <c r="AW15" i="8"/>
  <c r="K32" i="5"/>
  <c r="O39" i="5" s="1"/>
  <c r="K33" i="5"/>
  <c r="P39" i="5" s="1"/>
  <c r="AQ18" i="8"/>
  <c r="AS19" i="8"/>
  <c r="AS13" i="8"/>
  <c r="AS15" i="8"/>
  <c r="AV15" i="8"/>
  <c r="AW18" i="8"/>
  <c r="AS12" i="8"/>
  <c r="AW16" i="8"/>
  <c r="AQ13" i="8"/>
  <c r="AS14" i="8"/>
  <c r="AQ16" i="8"/>
  <c r="AV19" i="8"/>
  <c r="AS27" i="8"/>
  <c r="AK26" i="7"/>
  <c r="AA24" i="7"/>
  <c r="AV13" i="8"/>
  <c r="AU14" i="8"/>
  <c r="AT15" i="8"/>
  <c r="AU15" i="8"/>
  <c r="AR18" i="8"/>
  <c r="Y25" i="7"/>
  <c r="AV16" i="8"/>
  <c r="AU17" i="8"/>
  <c r="AU19" i="8"/>
  <c r="AA20" i="7"/>
  <c r="AV14" i="8"/>
  <c r="X25" i="7"/>
  <c r="AP12" i="8"/>
  <c r="AJ10" i="7"/>
  <c r="AP13" i="8"/>
  <c r="AP26" i="8"/>
  <c r="AP14" i="8"/>
  <c r="AP18" i="8"/>
  <c r="AP17" i="8"/>
  <c r="AP27" i="8"/>
  <c r="AP16" i="8"/>
  <c r="X23" i="7"/>
  <c r="AL27" i="7"/>
  <c r="AX32" i="8"/>
  <c r="AR32" i="8"/>
  <c r="AV32" i="8"/>
  <c r="AT32" i="8"/>
  <c r="AT3" i="8"/>
  <c r="AS32" i="8"/>
  <c r="AW32" i="8"/>
  <c r="AQ32" i="8"/>
  <c r="AU32" i="8"/>
  <c r="AP32" i="8"/>
  <c r="AT36" i="8"/>
  <c r="AT11" i="8"/>
  <c r="AT10" i="8"/>
  <c r="AT6" i="8"/>
  <c r="AT4" i="8"/>
  <c r="AT8" i="8"/>
  <c r="AT7" i="8"/>
  <c r="AT9" i="8"/>
  <c r="AT5" i="8"/>
  <c r="AR34" i="8"/>
  <c r="AV34" i="8"/>
  <c r="AV36" i="8"/>
  <c r="AV3" i="8"/>
  <c r="AP34" i="8"/>
  <c r="AT34" i="8"/>
  <c r="AS34" i="8"/>
  <c r="AW34" i="8"/>
  <c r="AX34" i="8"/>
  <c r="AQ34" i="8"/>
  <c r="AU34" i="8"/>
  <c r="AV10" i="8"/>
  <c r="AV11" i="8"/>
  <c r="AV9" i="8"/>
  <c r="AV5" i="8"/>
  <c r="AV6" i="8"/>
  <c r="AV8" i="8"/>
  <c r="AV4" i="8"/>
  <c r="AV7" i="8"/>
  <c r="AR33" i="8"/>
  <c r="AV33" i="8"/>
  <c r="AX33" i="8"/>
  <c r="AS33" i="8"/>
  <c r="AW33" i="8"/>
  <c r="AP33" i="8"/>
  <c r="AQ33" i="8"/>
  <c r="AU33" i="8"/>
  <c r="AU36" i="8"/>
  <c r="AU3" i="8"/>
  <c r="AT33" i="8"/>
  <c r="AU11" i="8"/>
  <c r="AU10" i="8"/>
  <c r="AU4" i="8"/>
  <c r="AU6" i="8"/>
  <c r="AU9" i="8"/>
  <c r="AU5" i="8"/>
  <c r="AU7" i="8"/>
  <c r="AU8" i="8"/>
  <c r="AR35" i="8"/>
  <c r="AV35" i="8"/>
  <c r="AS35" i="8"/>
  <c r="AW35" i="8"/>
  <c r="AW36" i="8"/>
  <c r="AW3" i="8"/>
  <c r="AT35" i="8"/>
  <c r="AX35" i="8"/>
  <c r="AQ35" i="8"/>
  <c r="AU35" i="8"/>
  <c r="AP35" i="8"/>
  <c r="AW10" i="8"/>
  <c r="AW11" i="8"/>
  <c r="AW7" i="8"/>
  <c r="AW4" i="8"/>
  <c r="AW6" i="8"/>
  <c r="AW8" i="8"/>
  <c r="AW9" i="8"/>
  <c r="AW5" i="8"/>
  <c r="AF13" i="7"/>
  <c r="AI10" i="7"/>
  <c r="AA19" i="7"/>
  <c r="J32" i="5"/>
  <c r="O38" i="5" s="1"/>
  <c r="AW13" i="8"/>
  <c r="AQ14" i="8"/>
  <c r="AP15" i="8"/>
  <c r="AR15" i="8"/>
  <c r="AQ15" i="8"/>
  <c r="AS18" i="8"/>
  <c r="AV18" i="8"/>
  <c r="AU18" i="8"/>
  <c r="AJ11" i="7"/>
  <c r="Y23" i="7"/>
  <c r="Y22" i="7"/>
  <c r="AK12" i="7"/>
  <c r="AL13" i="7"/>
  <c r="AW12" i="8"/>
  <c r="AU12" i="8"/>
  <c r="AK10" i="7"/>
  <c r="AR16" i="8"/>
  <c r="AS17" i="8"/>
  <c r="AW17" i="8"/>
  <c r="AQ17" i="8"/>
  <c r="AR19" i="8"/>
  <c r="AQ19" i="8"/>
  <c r="AQ27" i="8"/>
  <c r="AT26" i="8"/>
  <c r="AQ26" i="8"/>
  <c r="AM23" i="7"/>
  <c r="AK28" i="7"/>
  <c r="AK3" i="7"/>
  <c r="AJ23" i="7"/>
  <c r="AN23" i="7"/>
  <c r="Q23" i="7"/>
  <c r="AK23" i="7"/>
  <c r="AO23" i="7"/>
  <c r="AP23" i="7"/>
  <c r="AL34" i="7"/>
  <c r="B53" i="7" s="1"/>
  <c r="AL23" i="7"/>
  <c r="AC23" i="7"/>
  <c r="AB23" i="7"/>
  <c r="AK5" i="7"/>
  <c r="U23" i="7"/>
  <c r="AK14" i="7"/>
  <c r="V23" i="7"/>
  <c r="AK6" i="7"/>
  <c r="T23" i="7"/>
  <c r="S23" i="7"/>
  <c r="AK15" i="7"/>
  <c r="R23" i="7"/>
  <c r="AK4" i="7"/>
  <c r="AK8" i="7"/>
  <c r="W23" i="7"/>
  <c r="AK9" i="7"/>
  <c r="AK7" i="7"/>
  <c r="AM34" i="7"/>
  <c r="B54" i="7" s="1"/>
  <c r="AP24" i="7"/>
  <c r="AK24" i="7"/>
  <c r="AO24" i="7"/>
  <c r="AL24" i="7"/>
  <c r="AL28" i="7"/>
  <c r="AL3" i="7"/>
  <c r="AM24" i="7"/>
  <c r="AJ24" i="7"/>
  <c r="AN24" i="7"/>
  <c r="Q24" i="7"/>
  <c r="AL4" i="7"/>
  <c r="AL6" i="7"/>
  <c r="W24" i="7"/>
  <c r="AL9" i="7"/>
  <c r="AB24" i="7"/>
  <c r="AC24" i="7"/>
  <c r="AL15" i="7"/>
  <c r="AL14" i="7"/>
  <c r="AL8" i="7"/>
  <c r="U24" i="7"/>
  <c r="AL7" i="7"/>
  <c r="S24" i="7"/>
  <c r="AL5" i="7"/>
  <c r="R24" i="7"/>
  <c r="V24" i="7"/>
  <c r="T24" i="7"/>
  <c r="AL11" i="7"/>
  <c r="Y24" i="7"/>
  <c r="Z22" i="7"/>
  <c r="AK13" i="7"/>
  <c r="AJ26" i="7"/>
  <c r="AK22" i="7"/>
  <c r="AO22" i="7"/>
  <c r="Q22" i="7"/>
  <c r="AL22" i="7"/>
  <c r="AK34" i="7"/>
  <c r="B52" i="7" s="1"/>
  <c r="AP22" i="7"/>
  <c r="AM22" i="7"/>
  <c r="AJ3" i="7"/>
  <c r="AJ22" i="7"/>
  <c r="AN22" i="7"/>
  <c r="AJ28" i="7"/>
  <c r="AC22" i="7"/>
  <c r="AB22" i="7"/>
  <c r="AJ14" i="7"/>
  <c r="S22" i="7"/>
  <c r="AJ9" i="7"/>
  <c r="AJ4" i="7"/>
  <c r="R22" i="7"/>
  <c r="T22" i="7"/>
  <c r="AJ8" i="7"/>
  <c r="V22" i="7"/>
  <c r="AJ7" i="7"/>
  <c r="W22" i="7"/>
  <c r="AJ15" i="7"/>
  <c r="AJ6" i="7"/>
  <c r="U22" i="7"/>
  <c r="AJ5" i="7"/>
  <c r="AO34" i="7"/>
  <c r="B56" i="7" s="1"/>
  <c r="AM25" i="7"/>
  <c r="AP25" i="7"/>
  <c r="AJ25" i="7"/>
  <c r="AN25" i="7"/>
  <c r="AK25" i="7"/>
  <c r="AO25" i="7"/>
  <c r="AM28" i="7"/>
  <c r="AM3" i="7"/>
  <c r="AL25" i="7"/>
  <c r="Q25" i="7"/>
  <c r="AM14" i="7"/>
  <c r="AM4" i="7"/>
  <c r="R25" i="7"/>
  <c r="AM8" i="7"/>
  <c r="V25" i="7"/>
  <c r="AC25" i="7"/>
  <c r="AB25" i="7"/>
  <c r="AM7" i="7"/>
  <c r="W25" i="7"/>
  <c r="AM9" i="7"/>
  <c r="U25" i="7"/>
  <c r="AM15" i="7"/>
  <c r="AM6" i="7"/>
  <c r="S25" i="7"/>
  <c r="AM5" i="7"/>
  <c r="T25" i="7"/>
  <c r="AM11" i="7"/>
  <c r="Z23" i="7"/>
  <c r="Z24" i="7"/>
  <c r="Z25" i="7"/>
  <c r="AM12" i="7"/>
  <c r="AA22" i="7"/>
  <c r="AA23" i="7"/>
  <c r="AV12" i="8"/>
  <c r="AQ12" i="8"/>
  <c r="X22" i="7"/>
  <c r="AM10" i="7"/>
  <c r="AV17" i="8"/>
  <c r="AW19" i="8"/>
  <c r="AT19" i="8"/>
  <c r="AV27" i="8"/>
  <c r="AV26" i="8"/>
  <c r="AU26" i="8"/>
  <c r="AW26" i="8"/>
  <c r="AK27" i="7"/>
  <c r="AJ27" i="7"/>
  <c r="AM27" i="7"/>
  <c r="AL26" i="7"/>
  <c r="AX28" i="8"/>
  <c r="AR28" i="8"/>
  <c r="AV28" i="8"/>
  <c r="AP28" i="8"/>
  <c r="AP36" i="8"/>
  <c r="AS28" i="8"/>
  <c r="AW28" i="8"/>
  <c r="AT28" i="8"/>
  <c r="AP3" i="8"/>
  <c r="AQ28" i="8"/>
  <c r="AU28" i="8"/>
  <c r="AP11" i="8"/>
  <c r="AP10" i="8"/>
  <c r="AP8" i="8"/>
  <c r="AP7" i="8"/>
  <c r="AP9" i="8"/>
  <c r="AP6" i="8"/>
  <c r="AP4" i="8"/>
  <c r="AP5" i="8"/>
  <c r="AR29" i="8"/>
  <c r="AV29" i="8"/>
  <c r="AQ3" i="8"/>
  <c r="AP29" i="8"/>
  <c r="AX29" i="8"/>
  <c r="AS29" i="8"/>
  <c r="AW29" i="8"/>
  <c r="AQ29" i="8"/>
  <c r="AU29" i="8"/>
  <c r="AQ36" i="8"/>
  <c r="AT29" i="8"/>
  <c r="AQ10" i="8"/>
  <c r="AQ11" i="8"/>
  <c r="AQ7" i="8"/>
  <c r="AQ8" i="8"/>
  <c r="AQ4" i="8"/>
  <c r="AQ6" i="8"/>
  <c r="AQ9" i="8"/>
  <c r="AQ5" i="8"/>
  <c r="AR30" i="8"/>
  <c r="AV30" i="8"/>
  <c r="AR36" i="8"/>
  <c r="AX30" i="8"/>
  <c r="AP30" i="8"/>
  <c r="AS30" i="8"/>
  <c r="AW30" i="8"/>
  <c r="AT30" i="8"/>
  <c r="AQ30" i="8"/>
  <c r="AU30" i="8"/>
  <c r="AR3" i="8"/>
  <c r="AR11" i="8"/>
  <c r="AR10" i="8"/>
  <c r="AR6" i="8"/>
  <c r="AR8" i="8"/>
  <c r="AR4" i="8"/>
  <c r="AR7" i="8"/>
  <c r="AR9" i="8"/>
  <c r="AR5" i="8"/>
  <c r="AR31" i="8"/>
  <c r="AV31" i="8"/>
  <c r="AP31" i="8"/>
  <c r="AS31" i="8"/>
  <c r="AW31" i="8"/>
  <c r="AS36" i="8"/>
  <c r="AS3" i="8"/>
  <c r="AT31" i="8"/>
  <c r="AX31" i="8"/>
  <c r="AQ31" i="8"/>
  <c r="AU31" i="8"/>
  <c r="AS11" i="8"/>
  <c r="AS10" i="8"/>
  <c r="AS4" i="8"/>
  <c r="AS6" i="8"/>
  <c r="AS8" i="8"/>
  <c r="AS9" i="8"/>
  <c r="AS5" i="8"/>
  <c r="AS7" i="8"/>
  <c r="J33" i="5"/>
  <c r="P38" i="5" s="1"/>
  <c r="AT13" i="8"/>
  <c r="AR13" i="8"/>
  <c r="AU13" i="8"/>
  <c r="AT14" i="8"/>
  <c r="AW14" i="8"/>
  <c r="AR14" i="8"/>
  <c r="AT18" i="8"/>
  <c r="AK11" i="7"/>
  <c r="AL12" i="7"/>
  <c r="AJ12" i="7"/>
  <c r="AJ13" i="7"/>
  <c r="AM13" i="7"/>
  <c r="AT12" i="8"/>
  <c r="AR12" i="8"/>
  <c r="AL10" i="7"/>
  <c r="X24" i="7"/>
  <c r="AT16" i="8"/>
  <c r="AS16" i="8"/>
  <c r="AU16" i="8"/>
  <c r="AT17" i="8"/>
  <c r="AR17" i="8"/>
  <c r="AP19" i="8"/>
  <c r="AU27" i="8"/>
  <c r="AR27" i="8"/>
  <c r="AT27" i="8"/>
  <c r="AW27" i="8"/>
  <c r="AR26" i="8"/>
  <c r="AS26" i="8"/>
  <c r="AM26" i="7"/>
  <c r="AC41" i="8"/>
  <c r="X17" i="7"/>
  <c r="AD13" i="7"/>
  <c r="AS24" i="8"/>
  <c r="AW24" i="8"/>
  <c r="AQ24" i="8"/>
  <c r="AP24" i="8"/>
  <c r="AT24" i="8"/>
  <c r="AU24" i="8"/>
  <c r="AR24" i="8"/>
  <c r="AV24" i="8"/>
  <c r="AO24" i="8"/>
  <c r="AX24" i="8"/>
  <c r="AS22" i="8"/>
  <c r="AW22" i="8"/>
  <c r="AU22" i="8"/>
  <c r="AP22" i="8"/>
  <c r="AT22" i="8"/>
  <c r="AQ22" i="8"/>
  <c r="AR22" i="8"/>
  <c r="AV22" i="8"/>
  <c r="AO22" i="8"/>
  <c r="AX22" i="8"/>
  <c r="AS25" i="8"/>
  <c r="AW25" i="8"/>
  <c r="AQ25" i="8"/>
  <c r="AP25" i="8"/>
  <c r="AT25" i="8"/>
  <c r="AR25" i="8"/>
  <c r="AV25" i="8"/>
  <c r="AU25" i="8"/>
  <c r="AO25" i="8"/>
  <c r="AX25" i="8"/>
  <c r="AS23" i="8"/>
  <c r="AW23" i="8"/>
  <c r="AP23" i="8"/>
  <c r="AT23" i="8"/>
  <c r="AU23" i="8"/>
  <c r="AR23" i="8"/>
  <c r="AV23" i="8"/>
  <c r="AQ23" i="8"/>
  <c r="AO23" i="8"/>
  <c r="AX23" i="8"/>
  <c r="Y18" i="7"/>
  <c r="AE11" i="7"/>
  <c r="AH11" i="7"/>
  <c r="Y21" i="7"/>
  <c r="Z17" i="7"/>
  <c r="AE12" i="7"/>
  <c r="AG12" i="7"/>
  <c r="AH12" i="7"/>
  <c r="AA18" i="7"/>
  <c r="AE13" i="7"/>
  <c r="AG13" i="7"/>
  <c r="AF10" i="7"/>
  <c r="X18" i="7"/>
  <c r="X19" i="7"/>
  <c r="AH10" i="7"/>
  <c r="AI17" i="7"/>
  <c r="AM17" i="7"/>
  <c r="AE23" i="7"/>
  <c r="AE27" i="7"/>
  <c r="AD34" i="7"/>
  <c r="B45" i="7" s="1"/>
  <c r="AJ17" i="7"/>
  <c r="AN17" i="7"/>
  <c r="AE22" i="7"/>
  <c r="AE26" i="7"/>
  <c r="AE25" i="7"/>
  <c r="AH17" i="7"/>
  <c r="AL17" i="7"/>
  <c r="AE24" i="7"/>
  <c r="AK17" i="7"/>
  <c r="AO17" i="7"/>
  <c r="AF17" i="7"/>
  <c r="AE3" i="7"/>
  <c r="AG17" i="7"/>
  <c r="Q17" i="7"/>
  <c r="AP17" i="7"/>
  <c r="AE28" i="7"/>
  <c r="AE17" i="7"/>
  <c r="AE15" i="7"/>
  <c r="AB17" i="7"/>
  <c r="AE6" i="7"/>
  <c r="AE5" i="7"/>
  <c r="AC17" i="7"/>
  <c r="AE14" i="7"/>
  <c r="AE4" i="7"/>
  <c r="W17" i="7"/>
  <c r="V17" i="7"/>
  <c r="U17" i="7"/>
  <c r="AE9" i="7"/>
  <c r="R17" i="7"/>
  <c r="T17" i="7"/>
  <c r="S17" i="7"/>
  <c r="AE8" i="7"/>
  <c r="AE7" i="7"/>
  <c r="Y17" i="7"/>
  <c r="Y20" i="7"/>
  <c r="Z18" i="7"/>
  <c r="AI12" i="7"/>
  <c r="AI13" i="7"/>
  <c r="AE10" i="7"/>
  <c r="Z41" i="8"/>
  <c r="AS21" i="8"/>
  <c r="AW21" i="8"/>
  <c r="AU21" i="8"/>
  <c r="AP21" i="8"/>
  <c r="AT21" i="8"/>
  <c r="AQ21" i="8"/>
  <c r="AR21" i="8"/>
  <c r="AV21" i="8"/>
  <c r="AO21" i="8"/>
  <c r="AX21" i="8"/>
  <c r="AD12" i="7"/>
  <c r="AG11" i="7"/>
  <c r="Z19" i="7"/>
  <c r="Z20" i="7"/>
  <c r="AH13" i="7"/>
  <c r="AG34" i="7"/>
  <c r="B48" i="7" s="1"/>
  <c r="AP20" i="7"/>
  <c r="AI20" i="7"/>
  <c r="AM20" i="7"/>
  <c r="AF20" i="7"/>
  <c r="Q20" i="7"/>
  <c r="AO20" i="7"/>
  <c r="AJ20" i="7"/>
  <c r="AN20" i="7"/>
  <c r="AG20" i="7"/>
  <c r="AH20" i="7"/>
  <c r="AL20" i="7"/>
  <c r="AH22" i="7"/>
  <c r="AH23" i="7"/>
  <c r="AH24" i="7"/>
  <c r="AH25" i="7"/>
  <c r="AH26" i="7"/>
  <c r="AH27" i="7"/>
  <c r="AH28" i="7"/>
  <c r="AE20" i="7"/>
  <c r="AK20" i="7"/>
  <c r="AH3" i="7"/>
  <c r="AB20" i="7"/>
  <c r="R20" i="7"/>
  <c r="T20" i="7"/>
  <c r="U20" i="7"/>
  <c r="AH9" i="7"/>
  <c r="AC20" i="7"/>
  <c r="AH4" i="7"/>
  <c r="AH15" i="7"/>
  <c r="AH6" i="7"/>
  <c r="S20" i="7"/>
  <c r="V20" i="7"/>
  <c r="AH14" i="7"/>
  <c r="AH5" i="7"/>
  <c r="AH8" i="7"/>
  <c r="AH7" i="7"/>
  <c r="W20" i="7"/>
  <c r="AH34" i="7"/>
  <c r="B49" i="7" s="1"/>
  <c r="AI18" i="7"/>
  <c r="AM18" i="7"/>
  <c r="AF24" i="7"/>
  <c r="AK18" i="7"/>
  <c r="AF22" i="7"/>
  <c r="AF26" i="7"/>
  <c r="AJ18" i="7"/>
  <c r="AN18" i="7"/>
  <c r="AF23" i="7"/>
  <c r="AF27" i="7"/>
  <c r="AO18" i="7"/>
  <c r="AH18" i="7"/>
  <c r="AL18" i="7"/>
  <c r="AF25" i="7"/>
  <c r="AE18" i="7"/>
  <c r="AF28" i="7"/>
  <c r="Q18" i="7"/>
  <c r="AG18" i="7"/>
  <c r="AP18" i="7"/>
  <c r="AF18" i="7"/>
  <c r="AF3" i="7"/>
  <c r="AF15" i="7"/>
  <c r="AB18" i="7"/>
  <c r="R18" i="7"/>
  <c r="T18" i="7"/>
  <c r="S18" i="7"/>
  <c r="AC18" i="7"/>
  <c r="AF4" i="7"/>
  <c r="AF6" i="7"/>
  <c r="AF5" i="7"/>
  <c r="V18" i="7"/>
  <c r="AF7" i="7"/>
  <c r="AF9" i="7"/>
  <c r="W18" i="7"/>
  <c r="AF14" i="7"/>
  <c r="AF8" i="7"/>
  <c r="U18" i="7"/>
  <c r="AI21" i="7"/>
  <c r="AM21" i="7"/>
  <c r="AI22" i="7"/>
  <c r="AI23" i="7"/>
  <c r="AI24" i="7"/>
  <c r="AI25" i="7"/>
  <c r="AI26" i="7"/>
  <c r="AI27" i="7"/>
  <c r="AI28" i="7"/>
  <c r="AG21" i="7"/>
  <c r="AE34" i="7"/>
  <c r="B46" i="7" s="1"/>
  <c r="AP21" i="7"/>
  <c r="AJ21" i="7"/>
  <c r="AN21" i="7"/>
  <c r="AI3" i="7"/>
  <c r="Q21" i="7"/>
  <c r="AK21" i="7"/>
  <c r="AE21" i="7"/>
  <c r="AH21" i="7"/>
  <c r="AL21" i="7"/>
  <c r="AF21" i="7"/>
  <c r="AO21" i="7"/>
  <c r="AI8" i="7"/>
  <c r="AI7" i="7"/>
  <c r="W21" i="7"/>
  <c r="AI9" i="7"/>
  <c r="AB21" i="7"/>
  <c r="R21" i="7"/>
  <c r="U21" i="7"/>
  <c r="AC21" i="7"/>
  <c r="AI14" i="7"/>
  <c r="AI4" i="7"/>
  <c r="AI15" i="7"/>
  <c r="AI6" i="7"/>
  <c r="T21" i="7"/>
  <c r="S21" i="7"/>
  <c r="AI5" i="7"/>
  <c r="V21" i="7"/>
  <c r="AI19" i="7"/>
  <c r="AM19" i="7"/>
  <c r="AG25" i="7"/>
  <c r="Q19" i="7"/>
  <c r="AO19" i="7"/>
  <c r="AJ19" i="7"/>
  <c r="AN19" i="7"/>
  <c r="AG24" i="7"/>
  <c r="AF34" i="7"/>
  <c r="B47" i="7" s="1"/>
  <c r="AH19" i="7"/>
  <c r="AL19" i="7"/>
  <c r="AG22" i="7"/>
  <c r="AG26" i="7"/>
  <c r="AK19" i="7"/>
  <c r="AG23" i="7"/>
  <c r="AG27" i="7"/>
  <c r="AF19" i="7"/>
  <c r="AG19" i="7"/>
  <c r="AP19" i="7"/>
  <c r="AE19" i="7"/>
  <c r="AG28" i="7"/>
  <c r="AG3" i="7"/>
  <c r="AG14" i="7"/>
  <c r="AG6" i="7"/>
  <c r="AG9" i="7"/>
  <c r="AG8" i="7"/>
  <c r="V19" i="7"/>
  <c r="AG7" i="7"/>
  <c r="AC19" i="7"/>
  <c r="AG4" i="7"/>
  <c r="T19" i="7"/>
  <c r="S19" i="7"/>
  <c r="W19" i="7"/>
  <c r="AG15" i="7"/>
  <c r="AB19" i="7"/>
  <c r="R19" i="7"/>
  <c r="AG5" i="7"/>
  <c r="U19" i="7"/>
  <c r="Y19" i="7"/>
  <c r="AF11" i="7"/>
  <c r="AI11" i="7"/>
  <c r="AF12" i="7"/>
  <c r="Z21" i="7"/>
  <c r="AA17" i="7"/>
  <c r="AA21" i="7"/>
  <c r="AG10" i="7"/>
  <c r="X21" i="7"/>
  <c r="X20" i="7"/>
  <c r="Y16" i="7"/>
  <c r="Z16" i="7"/>
  <c r="AA16" i="7"/>
  <c r="AD10" i="7"/>
  <c r="AU20" i="8"/>
  <c r="AS20" i="8"/>
  <c r="AR20" i="8"/>
  <c r="AV20" i="8"/>
  <c r="AW20" i="8"/>
  <c r="U41" i="8" s="1"/>
  <c r="AP20" i="8"/>
  <c r="AT20" i="8"/>
  <c r="AQ20" i="8"/>
  <c r="AO20" i="8"/>
  <c r="AX20" i="8"/>
  <c r="AA41" i="8"/>
  <c r="AB41" i="8"/>
  <c r="AJ16" i="7"/>
  <c r="AN16" i="7"/>
  <c r="AL16" i="7"/>
  <c r="AD20" i="7"/>
  <c r="AD25" i="7"/>
  <c r="AK16" i="7"/>
  <c r="AO16" i="7"/>
  <c r="AD22" i="7"/>
  <c r="AD24" i="7"/>
  <c r="AD26" i="7"/>
  <c r="AI34" i="7"/>
  <c r="B50" i="7" s="1"/>
  <c r="AI16" i="7"/>
  <c r="AM16" i="7"/>
  <c r="AH16" i="7"/>
  <c r="AD21" i="7"/>
  <c r="AD23" i="7"/>
  <c r="AD27" i="7"/>
  <c r="AD17" i="7"/>
  <c r="AD19" i="7"/>
  <c r="AF16" i="7"/>
  <c r="Q16" i="7"/>
  <c r="AE16" i="7"/>
  <c r="AP16" i="7"/>
  <c r="AG16" i="7"/>
  <c r="AD16" i="7"/>
  <c r="AD18" i="7"/>
  <c r="AD28" i="7"/>
  <c r="AD3" i="7"/>
  <c r="AD15" i="7"/>
  <c r="AD14" i="7"/>
  <c r="AD8" i="7"/>
  <c r="R16" i="7"/>
  <c r="S16" i="7"/>
  <c r="U16" i="7"/>
  <c r="W16" i="7"/>
  <c r="V16" i="7"/>
  <c r="AD7" i="7"/>
  <c r="AC16" i="7"/>
  <c r="AB16" i="7"/>
  <c r="AD4" i="7"/>
  <c r="T16" i="7"/>
  <c r="AD5" i="7"/>
  <c r="AD9" i="7"/>
  <c r="AD6" i="7"/>
  <c r="AD11" i="7"/>
  <c r="X16" i="7"/>
  <c r="J7" i="5"/>
  <c r="K7" i="5"/>
  <c r="H7" i="5"/>
  <c r="I7" i="5"/>
  <c r="L11" i="5"/>
  <c r="F11" i="5"/>
  <c r="H11" i="5"/>
  <c r="D11" i="5"/>
  <c r="K11" i="5"/>
  <c r="I11" i="5"/>
  <c r="G11" i="5"/>
  <c r="E11" i="5"/>
  <c r="C11" i="5"/>
  <c r="J11" i="5"/>
  <c r="K3" i="5"/>
  <c r="K12" i="5"/>
  <c r="K4" i="5"/>
  <c r="I10" i="5"/>
  <c r="E10" i="5"/>
  <c r="K10" i="5"/>
  <c r="G10" i="5"/>
  <c r="C10" i="5"/>
  <c r="L10" i="5"/>
  <c r="J10" i="5"/>
  <c r="H10" i="5"/>
  <c r="F10" i="5"/>
  <c r="D10" i="5"/>
  <c r="J12" i="5"/>
  <c r="J3" i="5"/>
  <c r="J4" i="5"/>
  <c r="C6" i="5"/>
  <c r="L6" i="5"/>
  <c r="J6" i="5"/>
  <c r="H6" i="5"/>
  <c r="F6" i="5"/>
  <c r="D6" i="5"/>
  <c r="K6" i="5"/>
  <c r="I6" i="5"/>
  <c r="G6" i="5"/>
  <c r="E6" i="5"/>
  <c r="F12" i="5"/>
  <c r="F3" i="5"/>
  <c r="F4" i="5"/>
  <c r="F5" i="5"/>
  <c r="I5" i="5"/>
  <c r="H5" i="5"/>
  <c r="F7" i="5"/>
  <c r="C8" i="5"/>
  <c r="J8" i="5"/>
  <c r="D8" i="5"/>
  <c r="K8" i="5"/>
  <c r="I8" i="5"/>
  <c r="G8" i="5"/>
  <c r="E8" i="5"/>
  <c r="L8" i="5"/>
  <c r="H8" i="5"/>
  <c r="F8" i="5"/>
  <c r="H3" i="5"/>
  <c r="H12" i="5"/>
  <c r="H4" i="5"/>
  <c r="I9" i="5"/>
  <c r="G9" i="5"/>
  <c r="C9" i="5"/>
  <c r="L9" i="5"/>
  <c r="J9" i="5"/>
  <c r="H9" i="5"/>
  <c r="F9" i="5"/>
  <c r="D9" i="5"/>
  <c r="K9" i="5"/>
  <c r="E9" i="5"/>
  <c r="I12" i="5"/>
  <c r="I3" i="5"/>
  <c r="I4" i="5"/>
  <c r="K5" i="5"/>
  <c r="J5" i="5"/>
  <c r="T25" i="6" l="1"/>
  <c r="C7" i="25"/>
  <c r="C6" i="25"/>
  <c r="R21" i="23"/>
  <c r="U21" i="23"/>
  <c r="B6" i="25"/>
  <c r="C8" i="25"/>
  <c r="B7" i="25"/>
  <c r="B5" i="25"/>
  <c r="C9" i="25"/>
  <c r="U25" i="6"/>
  <c r="B34" i="21"/>
  <c r="B33" i="21"/>
  <c r="C32" i="21"/>
  <c r="C35" i="21"/>
  <c r="C33" i="21"/>
  <c r="C34" i="21"/>
  <c r="Y9" i="6"/>
  <c r="Q11" i="6"/>
  <c r="Y6" i="6"/>
  <c r="Y4" i="6"/>
  <c r="V11" i="6"/>
  <c r="S11" i="6"/>
  <c r="R11" i="6"/>
  <c r="Y11" i="6"/>
  <c r="Y20" i="6"/>
  <c r="Y5" i="6"/>
  <c r="Y3" i="6"/>
  <c r="T11" i="6"/>
  <c r="U11" i="6"/>
  <c r="Y7" i="6"/>
  <c r="K31" i="5"/>
  <c r="Z26" i="6"/>
  <c r="C33" i="6" s="1"/>
  <c r="AD27" i="6"/>
  <c r="D37" i="6" s="1"/>
  <c r="C14" i="25" s="1"/>
  <c r="AC27" i="6"/>
  <c r="D36" i="6" s="1"/>
  <c r="C13" i="25" s="1"/>
  <c r="AC15" i="6"/>
  <c r="S15" i="6"/>
  <c r="AC11" i="6"/>
  <c r="AG27" i="6"/>
  <c r="D40" i="6" s="1"/>
  <c r="C17" i="25" s="1"/>
  <c r="Z27" i="6"/>
  <c r="D33" i="6" s="1"/>
  <c r="C10" i="25" s="1"/>
  <c r="AC3" i="6"/>
  <c r="R19" i="6"/>
  <c r="Y19" i="6"/>
  <c r="AG26" i="6"/>
  <c r="C40" i="6" s="1"/>
  <c r="B17" i="25" s="1"/>
  <c r="AG7" i="6"/>
  <c r="V19" i="6"/>
  <c r="Y15" i="6"/>
  <c r="AC7" i="6"/>
  <c r="AC8" i="6"/>
  <c r="AC20" i="6"/>
  <c r="AC26" i="6"/>
  <c r="C36" i="6" s="1"/>
  <c r="AC10" i="6"/>
  <c r="R15" i="6"/>
  <c r="AE27" i="6"/>
  <c r="D38" i="6" s="1"/>
  <c r="C15" i="25" s="1"/>
  <c r="V15" i="6"/>
  <c r="T15" i="6"/>
  <c r="X15" i="6"/>
  <c r="W15" i="6"/>
  <c r="AC5" i="6"/>
  <c r="U15" i="6"/>
  <c r="Q15" i="6"/>
  <c r="AB27" i="6"/>
  <c r="D35" i="6" s="1"/>
  <c r="C12" i="25" s="1"/>
  <c r="AC4" i="6"/>
  <c r="AC6" i="6"/>
  <c r="AH15" i="6"/>
  <c r="AC9" i="6"/>
  <c r="AC19" i="6"/>
  <c r="AG15" i="6"/>
  <c r="AG11" i="6"/>
  <c r="AG9" i="6"/>
  <c r="AG5" i="6"/>
  <c r="U19" i="6"/>
  <c r="AH19" i="6"/>
  <c r="Q19" i="6"/>
  <c r="X19" i="6"/>
  <c r="W19" i="6"/>
  <c r="S19" i="6"/>
  <c r="T19" i="6"/>
  <c r="AG20" i="6"/>
  <c r="AG19" i="6"/>
  <c r="AA27" i="6"/>
  <c r="D34" i="6" s="1"/>
  <c r="C11" i="25" s="1"/>
  <c r="AG10" i="6"/>
  <c r="AG4" i="6"/>
  <c r="AG6" i="6"/>
  <c r="AG3" i="6"/>
  <c r="AG8" i="6"/>
  <c r="AA26" i="6"/>
  <c r="C34" i="6" s="1"/>
  <c r="AF7" i="6"/>
  <c r="AD3" i="6"/>
  <c r="AF26" i="6"/>
  <c r="C39" i="6" s="1"/>
  <c r="B16" i="25" s="1"/>
  <c r="X18" i="6"/>
  <c r="V16" i="6"/>
  <c r="T17" i="6"/>
  <c r="AB12" i="6"/>
  <c r="Q14" i="6"/>
  <c r="AE26" i="6"/>
  <c r="C38" i="6" s="1"/>
  <c r="B15" i="25" s="1"/>
  <c r="Z11" i="6"/>
  <c r="AA14" i="6"/>
  <c r="AA3" i="6"/>
  <c r="AA4" i="6"/>
  <c r="AF18" i="6"/>
  <c r="AG12" i="6"/>
  <c r="AB15" i="6"/>
  <c r="W14" i="6"/>
  <c r="Z4" i="6"/>
  <c r="AH16" i="6"/>
  <c r="U12" i="6"/>
  <c r="AH12" i="6"/>
  <c r="X13" i="6"/>
  <c r="AA6" i="6"/>
  <c r="AB4" i="6"/>
  <c r="AC14" i="6"/>
  <c r="AA9" i="6"/>
  <c r="Q12" i="6"/>
  <c r="V12" i="6"/>
  <c r="AB11" i="6"/>
  <c r="AA20" i="6"/>
  <c r="U14" i="6"/>
  <c r="AB26" i="6"/>
  <c r="C35" i="6" s="1"/>
  <c r="W13" i="6"/>
  <c r="Z8" i="6"/>
  <c r="S12" i="6"/>
  <c r="Z6" i="6"/>
  <c r="AC12" i="6"/>
  <c r="X14" i="6"/>
  <c r="R13" i="6"/>
  <c r="AH13" i="6"/>
  <c r="AA13" i="6"/>
  <c r="T14" i="6"/>
  <c r="AB3" i="6"/>
  <c r="AG14" i="6"/>
  <c r="V13" i="6"/>
  <c r="X12" i="6"/>
  <c r="Z5" i="6"/>
  <c r="Z12" i="6"/>
  <c r="Z15" i="6"/>
  <c r="AB9" i="6"/>
  <c r="AA15" i="6"/>
  <c r="AA10" i="6"/>
  <c r="W12" i="6"/>
  <c r="T13" i="6"/>
  <c r="AB5" i="6"/>
  <c r="AH14" i="6"/>
  <c r="AF12" i="6"/>
  <c r="AA18" i="6"/>
  <c r="W18" i="6"/>
  <c r="S18" i="6"/>
  <c r="AH18" i="6"/>
  <c r="Z18" i="6"/>
  <c r="AC18" i="6"/>
  <c r="AF5" i="6"/>
  <c r="AG18" i="6"/>
  <c r="R18" i="6"/>
  <c r="AE15" i="6"/>
  <c r="AE14" i="6"/>
  <c r="AE7" i="6"/>
  <c r="AF17" i="6"/>
  <c r="AD26" i="6"/>
  <c r="C37" i="6" s="1"/>
  <c r="B14" i="25" s="1"/>
  <c r="AD15" i="6"/>
  <c r="AB17" i="6"/>
  <c r="AD8" i="6"/>
  <c r="AE5" i="6"/>
  <c r="U17" i="6"/>
  <c r="AG17" i="6"/>
  <c r="AD5" i="6"/>
  <c r="AE12" i="6"/>
  <c r="AE13" i="6"/>
  <c r="AE18" i="6"/>
  <c r="R17" i="6"/>
  <c r="AE3" i="6"/>
  <c r="AD17" i="6"/>
  <c r="AF9" i="6"/>
  <c r="T16" i="6"/>
  <c r="Y12" i="6"/>
  <c r="T12" i="6"/>
  <c r="Z20" i="6"/>
  <c r="Z17" i="6"/>
  <c r="AA12" i="6"/>
  <c r="AA11" i="6"/>
  <c r="S13" i="6"/>
  <c r="U13" i="6"/>
  <c r="AC13" i="6"/>
  <c r="AA19" i="6"/>
  <c r="S14" i="6"/>
  <c r="AB6" i="6"/>
  <c r="AB18" i="6"/>
  <c r="AB19" i="6"/>
  <c r="AF6" i="6"/>
  <c r="AD18" i="6"/>
  <c r="W15" i="23"/>
  <c r="AA9" i="23"/>
  <c r="U13" i="23"/>
  <c r="W14" i="23"/>
  <c r="AC7" i="23"/>
  <c r="AA7" i="23"/>
  <c r="V13" i="23"/>
  <c r="U14" i="23"/>
  <c r="U15" i="23"/>
  <c r="AF19" i="6"/>
  <c r="AD4" i="6"/>
  <c r="W13" i="23"/>
  <c r="AB9" i="23"/>
  <c r="AC9" i="23"/>
  <c r="AC8" i="23"/>
  <c r="AB8" i="23"/>
  <c r="Z10" i="6"/>
  <c r="AF16" i="6"/>
  <c r="Z16" i="6"/>
  <c r="AD12" i="6"/>
  <c r="AF15" i="6"/>
  <c r="AC17" i="6"/>
  <c r="AF13" i="6"/>
  <c r="AD14" i="6"/>
  <c r="AE10" i="6"/>
  <c r="T18" i="6"/>
  <c r="Q18" i="6"/>
  <c r="AE4" i="6"/>
  <c r="AE20" i="6"/>
  <c r="Q17" i="6"/>
  <c r="AD10" i="6"/>
  <c r="AE19" i="6"/>
  <c r="S16" i="6"/>
  <c r="AE16" i="6"/>
  <c r="W16" i="6"/>
  <c r="AE11" i="6"/>
  <c r="AE8" i="6"/>
  <c r="Y17" i="6"/>
  <c r="AD6" i="6"/>
  <c r="AG16" i="6"/>
  <c r="X16" i="6"/>
  <c r="AD11" i="6"/>
  <c r="AF11" i="6"/>
  <c r="AF10" i="6"/>
  <c r="U16" i="6"/>
  <c r="AD20" i="6"/>
  <c r="Q16" i="6"/>
  <c r="AD16" i="6"/>
  <c r="Y16" i="6"/>
  <c r="AD9" i="6"/>
  <c r="X17" i="6"/>
  <c r="AF27" i="6"/>
  <c r="D39" i="6" s="1"/>
  <c r="C16" i="25" s="1"/>
  <c r="AC16" i="6"/>
  <c r="AA17" i="6"/>
  <c r="AD13" i="6"/>
  <c r="V18" i="6"/>
  <c r="AF4" i="6"/>
  <c r="U18" i="6"/>
  <c r="AF20" i="6"/>
  <c r="AF3" i="6"/>
  <c r="S17" i="6"/>
  <c r="AE6" i="6"/>
  <c r="AH17" i="6"/>
  <c r="AE17" i="6"/>
  <c r="Y18" i="6"/>
  <c r="AD19" i="6"/>
  <c r="R16" i="6"/>
  <c r="AD7" i="6"/>
  <c r="AF8" i="6"/>
  <c r="W17" i="6"/>
  <c r="AE9" i="6"/>
  <c r="V17" i="6"/>
  <c r="AB7" i="23"/>
  <c r="AA14" i="23"/>
  <c r="AB14" i="23"/>
  <c r="AB3" i="23"/>
  <c r="AC14" i="23"/>
  <c r="AB22" i="23"/>
  <c r="D29" i="23" s="1"/>
  <c r="AB16" i="23"/>
  <c r="Q14" i="23"/>
  <c r="AD14" i="23"/>
  <c r="AB4" i="23"/>
  <c r="R14" i="23"/>
  <c r="T14" i="23"/>
  <c r="S14" i="23"/>
  <c r="AB6" i="23"/>
  <c r="AB5" i="23"/>
  <c r="Q13" i="23"/>
  <c r="AB13" i="23"/>
  <c r="AA3" i="23"/>
  <c r="AA13" i="23"/>
  <c r="AA16" i="23"/>
  <c r="AC13" i="23"/>
  <c r="AD13" i="23"/>
  <c r="AA22" i="23"/>
  <c r="D28" i="23" s="1"/>
  <c r="R13" i="23"/>
  <c r="AA4" i="23"/>
  <c r="AA5" i="23"/>
  <c r="AA6" i="23"/>
  <c r="S13" i="23"/>
  <c r="T13" i="23"/>
  <c r="AC22" i="23"/>
  <c r="D30" i="23" s="1"/>
  <c r="AB15" i="23"/>
  <c r="AC3" i="23"/>
  <c r="Q15" i="23"/>
  <c r="AA15" i="23"/>
  <c r="AD15" i="23"/>
  <c r="AC16" i="23"/>
  <c r="AC15" i="23"/>
  <c r="AC4" i="23"/>
  <c r="R15" i="23"/>
  <c r="AC5" i="23"/>
  <c r="AC6" i="23"/>
  <c r="T15" i="23"/>
  <c r="S15" i="23"/>
  <c r="V14" i="23"/>
  <c r="V15" i="23"/>
  <c r="W10" i="23"/>
  <c r="U10" i="23"/>
  <c r="AA8" i="6"/>
  <c r="V12" i="23"/>
  <c r="Z9" i="6"/>
  <c r="R12" i="6"/>
  <c r="Z7" i="6"/>
  <c r="Z14" i="6"/>
  <c r="Z13" i="6"/>
  <c r="Z19" i="6"/>
  <c r="Z3" i="6"/>
  <c r="AB8" i="6"/>
  <c r="AA5" i="6"/>
  <c r="AA7" i="6"/>
  <c r="AB13" i="6"/>
  <c r="AA25" i="6" s="1"/>
  <c r="AA16" i="6"/>
  <c r="Q13" i="6"/>
  <c r="AG13" i="6"/>
  <c r="Y14" i="6"/>
  <c r="R14" i="6"/>
  <c r="AB7" i="6"/>
  <c r="AB20" i="6"/>
  <c r="AB16" i="6"/>
  <c r="AB14" i="6"/>
  <c r="AF14" i="6"/>
  <c r="V14" i="6"/>
  <c r="Y13" i="6"/>
  <c r="AB10" i="6"/>
  <c r="X22" i="23"/>
  <c r="D25" i="23" s="1"/>
  <c r="B8" i="25" s="1"/>
  <c r="Y10" i="23"/>
  <c r="X10" i="23"/>
  <c r="Q10" i="23"/>
  <c r="X15" i="23"/>
  <c r="AB10" i="23"/>
  <c r="X14" i="23"/>
  <c r="AD10" i="23"/>
  <c r="AA10" i="23"/>
  <c r="X13" i="23"/>
  <c r="Z10" i="23"/>
  <c r="AC10" i="23"/>
  <c r="X16" i="23"/>
  <c r="X3" i="23"/>
  <c r="X4" i="23"/>
  <c r="R10" i="23"/>
  <c r="T10" i="23"/>
  <c r="S10" i="23"/>
  <c r="X5" i="23"/>
  <c r="X6" i="23"/>
  <c r="Z9" i="23"/>
  <c r="X9" i="23"/>
  <c r="V21" i="23" s="1"/>
  <c r="X7" i="23"/>
  <c r="Y7" i="23"/>
  <c r="X8" i="23"/>
  <c r="V10" i="23"/>
  <c r="Y9" i="23"/>
  <c r="W12" i="23"/>
  <c r="U11" i="23"/>
  <c r="V11" i="23"/>
  <c r="Y8" i="23"/>
  <c r="Z8" i="23"/>
  <c r="AB12" i="23"/>
  <c r="X12" i="23"/>
  <c r="Q12" i="23"/>
  <c r="Z15" i="23"/>
  <c r="AA12" i="23"/>
  <c r="Z13" i="23"/>
  <c r="AD12" i="23"/>
  <c r="Z14" i="23"/>
  <c r="Z3" i="23"/>
  <c r="Z12" i="23"/>
  <c r="Y12" i="23"/>
  <c r="Z22" i="23"/>
  <c r="D27" i="23" s="1"/>
  <c r="AC12" i="23"/>
  <c r="Z16" i="23"/>
  <c r="R12" i="23"/>
  <c r="Z4" i="23"/>
  <c r="S12" i="23"/>
  <c r="Z5" i="23"/>
  <c r="Z6" i="23"/>
  <c r="T12" i="23"/>
  <c r="Y22" i="23"/>
  <c r="D26" i="23" s="1"/>
  <c r="B9" i="25" s="1"/>
  <c r="Y13" i="23"/>
  <c r="Y3" i="23"/>
  <c r="Q11" i="23"/>
  <c r="Y11" i="23"/>
  <c r="X11" i="23"/>
  <c r="Y15" i="23"/>
  <c r="Y14" i="23"/>
  <c r="AA11" i="23"/>
  <c r="AC11" i="23"/>
  <c r="AD11" i="23"/>
  <c r="AB11" i="23"/>
  <c r="Y16" i="23"/>
  <c r="Z11" i="23"/>
  <c r="Y4" i="23"/>
  <c r="R11" i="23"/>
  <c r="T11" i="23"/>
  <c r="S11" i="23"/>
  <c r="Y6" i="23"/>
  <c r="Y5" i="23"/>
  <c r="U12" i="23"/>
  <c r="V25" i="6"/>
  <c r="AA49" i="9"/>
  <c r="W41" i="8"/>
  <c r="V41" i="8"/>
  <c r="W25" i="6"/>
  <c r="AH41" i="8"/>
  <c r="AI41" i="8"/>
  <c r="AL42" i="8"/>
  <c r="AJ41" i="8"/>
  <c r="AP43" i="8"/>
  <c r="AI42" i="8"/>
  <c r="AW43" i="8"/>
  <c r="AP42" i="8"/>
  <c r="AA43" i="8"/>
  <c r="AL43" i="8"/>
  <c r="AS43" i="8"/>
  <c r="AW42" i="8"/>
  <c r="AU43" i="8"/>
  <c r="AM42" i="8"/>
  <c r="AJ42" i="8"/>
  <c r="AS42" i="8"/>
  <c r="AR42" i="8"/>
  <c r="AV42" i="8"/>
  <c r="AT42" i="8"/>
  <c r="AM43" i="8"/>
  <c r="AT43" i="8"/>
  <c r="AR43" i="8"/>
  <c r="AH42" i="8"/>
  <c r="AK42" i="8"/>
  <c r="AU42" i="8"/>
  <c r="AC43" i="8"/>
  <c r="AN43" i="8"/>
  <c r="AB43" i="8"/>
  <c r="Y43" i="8"/>
  <c r="AC42" i="8"/>
  <c r="AB42" i="8"/>
  <c r="AA42" i="8"/>
  <c r="AK43" i="8"/>
  <c r="AN42" i="8"/>
  <c r="U43" i="8"/>
  <c r="AQ43" i="8"/>
  <c r="AO43" i="8"/>
  <c r="W43" i="8"/>
  <c r="AJ43" i="8"/>
  <c r="T42" i="8"/>
  <c r="AV43" i="8"/>
  <c r="AQ42" i="8"/>
  <c r="V43" i="8"/>
  <c r="AO42" i="8"/>
  <c r="S43" i="8"/>
  <c r="AI43" i="8"/>
  <c r="AH43" i="8"/>
  <c r="T43" i="8"/>
  <c r="U42" i="8"/>
  <c r="S42" i="8"/>
  <c r="AG43" i="8"/>
  <c r="V42" i="8"/>
  <c r="AE42" i="8"/>
  <c r="W42" i="8"/>
  <c r="AF43" i="8"/>
  <c r="X42" i="8"/>
  <c r="X43" i="8"/>
  <c r="Z43" i="8"/>
  <c r="Z42" i="8"/>
  <c r="R42" i="8"/>
  <c r="AE43" i="8"/>
  <c r="AD43" i="8"/>
  <c r="AG42" i="8"/>
  <c r="AF42" i="8"/>
  <c r="AD42" i="8"/>
  <c r="Y42" i="8"/>
  <c r="AM41" i="8"/>
  <c r="AH49" i="9"/>
  <c r="AI49" i="9"/>
  <c r="AG49" i="9"/>
  <c r="AF49" i="9"/>
  <c r="AX49" i="9"/>
  <c r="AO49" i="9"/>
  <c r="AN41" i="8"/>
  <c r="AL49" i="9"/>
  <c r="AM49" i="9"/>
  <c r="BE49" i="9"/>
  <c r="T41" i="8"/>
  <c r="AB33" i="7"/>
  <c r="AJ49" i="9"/>
  <c r="AR49" i="9"/>
  <c r="BD49" i="9"/>
  <c r="F31" i="5"/>
  <c r="AQ49" i="9"/>
  <c r="AN49" i="9"/>
  <c r="BA49" i="9"/>
  <c r="BB49" i="9"/>
  <c r="AW49" i="9"/>
  <c r="BC49" i="9"/>
  <c r="AY49" i="9"/>
  <c r="AV49" i="9"/>
  <c r="AZ49" i="9"/>
  <c r="AL33" i="7"/>
  <c r="AU49" i="9"/>
  <c r="AP49" i="9"/>
  <c r="AT49" i="9"/>
  <c r="AS49" i="9"/>
  <c r="AG33" i="7"/>
  <c r="AH33" i="7"/>
  <c r="AK49" i="9"/>
  <c r="AS41" i="8"/>
  <c r="X25" i="6"/>
  <c r="E31" i="5"/>
  <c r="AJ33" i="7"/>
  <c r="AN33" i="7"/>
  <c r="AO33" i="7"/>
  <c r="AK33" i="7"/>
  <c r="AF33" i="7"/>
  <c r="AM33" i="7"/>
  <c r="AE33" i="7"/>
  <c r="AI33" i="7"/>
  <c r="AD33" i="7"/>
  <c r="AC33" i="7"/>
  <c r="AP41" i="8"/>
  <c r="AV41" i="8"/>
  <c r="AW41" i="8"/>
  <c r="AR41" i="8"/>
  <c r="AU41" i="8"/>
  <c r="AQ41" i="8"/>
  <c r="AT41" i="8"/>
  <c r="AK41" i="8"/>
  <c r="AL41" i="8"/>
  <c r="G31" i="5"/>
  <c r="AO41" i="8"/>
  <c r="H31" i="5"/>
  <c r="J31" i="5"/>
  <c r="I31" i="5"/>
  <c r="B12" i="25" l="1"/>
  <c r="B13" i="25"/>
  <c r="B10" i="25"/>
  <c r="B11" i="25"/>
  <c r="AD25" i="6"/>
  <c r="B35" i="21"/>
  <c r="B45" i="21"/>
  <c r="B47" i="21"/>
  <c r="C40" i="21"/>
  <c r="C39" i="21"/>
  <c r="C46" i="21"/>
  <c r="C41" i="21"/>
  <c r="B36" i="21"/>
  <c r="B39" i="21"/>
  <c r="B38" i="21"/>
  <c r="C47" i="21"/>
  <c r="C43" i="21"/>
  <c r="C38" i="21"/>
  <c r="B37" i="21"/>
  <c r="B44" i="21"/>
  <c r="B46" i="21"/>
  <c r="C42" i="21"/>
  <c r="C45" i="21"/>
  <c r="C44" i="21"/>
  <c r="C36" i="21"/>
  <c r="C37" i="21"/>
  <c r="Z25" i="6"/>
  <c r="Y25" i="6"/>
  <c r="AC25" i="6"/>
  <c r="AG25" i="6"/>
  <c r="AE25" i="6"/>
  <c r="AF25" i="6"/>
  <c r="AB25" i="6"/>
  <c r="AC21" i="23"/>
  <c r="Z21" i="23"/>
  <c r="AB21" i="23"/>
  <c r="AA21" i="23"/>
  <c r="Y21" i="23"/>
  <c r="W21" i="23"/>
  <c r="X21" i="23"/>
  <c r="E35" i="5"/>
  <c r="Q41" i="8"/>
  <c r="T45" i="8" s="1"/>
  <c r="T53" i="9"/>
  <c r="S37" i="7"/>
  <c r="B43" i="21" l="1"/>
  <c r="B42" i="21"/>
  <c r="B41" i="21"/>
  <c r="B40" i="21"/>
  <c r="S29" i="6"/>
  <c r="S25" i="23"/>
  <c r="P20" i="1" l="1"/>
  <c r="P44" i="4" l="1"/>
  <c r="L49" i="4" s="1"/>
  <c r="L51" i="4" s="1"/>
  <c r="P21" i="1"/>
  <c r="C11" i="20" s="1"/>
  <c r="C12" i="20" s="1"/>
  <c r="K33" i="26"/>
  <c r="P24" i="1" l="1"/>
  <c r="P22" i="1"/>
  <c r="K16" i="26"/>
  <c r="K12" i="26"/>
  <c r="K21" i="26"/>
  <c r="K9" i="26"/>
  <c r="K25" i="26"/>
  <c r="K20" i="26"/>
  <c r="K4" i="26"/>
  <c r="K14" i="26"/>
  <c r="K15" i="26"/>
  <c r="K3" i="26"/>
  <c r="K5" i="26"/>
  <c r="K23" i="26"/>
  <c r="K18" i="26"/>
  <c r="K13" i="26"/>
  <c r="K28" i="26"/>
  <c r="K24" i="26"/>
  <c r="K26" i="26"/>
  <c r="K10" i="26"/>
  <c r="K30" i="26"/>
  <c r="K6" i="26"/>
  <c r="K32" i="26"/>
  <c r="K17" i="26"/>
  <c r="K11" i="26"/>
  <c r="K7" i="26"/>
  <c r="K27" i="26"/>
  <c r="K19" i="26"/>
  <c r="K29" i="26"/>
  <c r="K8" i="26"/>
  <c r="K31" i="26"/>
  <c r="K22" i="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Darren Murphy</author>
  </authors>
  <commentList>
    <comment ref="B1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Darren Murphy:</t>
        </r>
        <r>
          <rPr>
            <sz val="9"/>
            <color indexed="81"/>
            <rFont val="Tahoma"/>
            <family val="2"/>
          </rPr>
          <t xml:space="preserve">
Not codded to be dynamic yet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Darren Murphy</author>
  </authors>
  <commentList>
    <comment ref="F2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Darren Murphy:</t>
        </r>
        <r>
          <rPr>
            <sz val="9"/>
            <color indexed="81"/>
            <rFont val="Tahoma"/>
            <family val="2"/>
          </rPr>
          <t xml:space="preserve">
Log transform worked out better than SQR</t>
        </r>
      </text>
    </comment>
    <comment ref="O9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Darren Murphy:</t>
        </r>
        <r>
          <rPr>
            <sz val="9"/>
            <color indexed="81"/>
            <rFont val="Tahoma"/>
            <family val="2"/>
          </rPr>
          <t xml:space="preserve">
Right skewed distributions - transformed in A11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Darren Murphy</author>
  </authors>
  <commentList>
    <comment ref="J55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Darren Murphy:</t>
        </r>
        <r>
          <rPr>
            <sz val="9"/>
            <color indexed="81"/>
            <rFont val="Tahoma"/>
            <family val="2"/>
          </rPr>
          <t xml:space="preserve">
Log transform worked out better than SQR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Darren Murphy (External)</author>
  </authors>
  <commentList>
    <comment ref="E7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Darren Murphy (External):</t>
        </r>
        <r>
          <rPr>
            <sz val="9"/>
            <color indexed="81"/>
            <rFont val="Tahoma"/>
            <family val="2"/>
          </rPr>
          <t xml:space="preserve">
Updated new files found- may not be strataifed in correct order</t>
        </r>
      </text>
    </comment>
    <comment ref="C8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Darren Murphy (External):</t>
        </r>
        <r>
          <rPr>
            <sz val="9"/>
            <color indexed="81"/>
            <rFont val="Tahoma"/>
            <family val="2"/>
          </rPr>
          <t xml:space="preserve">
Height data may include post heights</t>
        </r>
      </text>
    </comment>
    <comment ref="F8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>Darren Murphy (External):</t>
        </r>
        <r>
          <rPr>
            <sz val="9"/>
            <color indexed="81"/>
            <rFont val="Tahoma"/>
            <family val="2"/>
          </rPr>
          <t xml:space="preserve">
Based of other averages</t>
        </r>
      </text>
    </comment>
    <comment ref="B10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>Darren Murphy (External):</t>
        </r>
        <r>
          <rPr>
            <sz val="9"/>
            <color indexed="81"/>
            <rFont val="Tahoma"/>
            <family val="2"/>
          </rPr>
          <t xml:space="preserve">
4.2 only has 160 measure - review  if extra data is needed</t>
        </r>
      </text>
    </comment>
  </commentList>
</comments>
</file>

<file path=xl/sharedStrings.xml><?xml version="1.0" encoding="utf-8"?>
<sst xmlns="http://schemas.openxmlformats.org/spreadsheetml/2006/main" count="478" uniqueCount="225">
  <si>
    <t>id</t>
  </si>
  <si>
    <t>xcoord</t>
  </si>
  <si>
    <t>ycoord</t>
  </si>
  <si>
    <t>A</t>
  </si>
  <si>
    <t>B</t>
  </si>
  <si>
    <t>D</t>
  </si>
  <si>
    <t>C</t>
  </si>
  <si>
    <t>xdist 1</t>
  </si>
  <si>
    <t xml:space="preserve">xdist 2 </t>
  </si>
  <si>
    <t>strata</t>
  </si>
  <si>
    <t>sl</t>
  </si>
  <si>
    <t>avg</t>
  </si>
  <si>
    <t xml:space="preserve">Strata co </t>
  </si>
  <si>
    <t>a1</t>
  </si>
  <si>
    <t>a2</t>
  </si>
  <si>
    <t>a3</t>
  </si>
  <si>
    <t>b1</t>
  </si>
  <si>
    <t>b2</t>
  </si>
  <si>
    <t>b3</t>
  </si>
  <si>
    <t xml:space="preserve">slope </t>
  </si>
  <si>
    <t>slope</t>
  </si>
  <si>
    <t>Y intercept</t>
  </si>
  <si>
    <t xml:space="preserve">Strata Boundaries </t>
  </si>
  <si>
    <t>X</t>
  </si>
  <si>
    <t>Y</t>
  </si>
  <si>
    <t>x</t>
  </si>
  <si>
    <t>y</t>
  </si>
  <si>
    <t xml:space="preserve">Entry pt </t>
  </si>
  <si>
    <t xml:space="preserve">Exit pt </t>
  </si>
  <si>
    <t>STRATA 1</t>
  </si>
  <si>
    <t>AD1</t>
  </si>
  <si>
    <t>BC1</t>
  </si>
  <si>
    <t>STRATA 2</t>
  </si>
  <si>
    <t>AD2</t>
  </si>
  <si>
    <t>BC2</t>
  </si>
  <si>
    <t>STRATA 3</t>
  </si>
  <si>
    <t>AD3</t>
  </si>
  <si>
    <t>BC3</t>
  </si>
  <si>
    <t>STRATA 4</t>
  </si>
  <si>
    <t xml:space="preserve">Y </t>
  </si>
  <si>
    <t>Paddock</t>
  </si>
  <si>
    <t>38 C</t>
  </si>
  <si>
    <t xml:space="preserve">Random one sample/pad </t>
  </si>
  <si>
    <t xml:space="preserve">Optimum  Route </t>
  </si>
  <si>
    <t xml:space="preserve">Total dist traveled </t>
  </si>
  <si>
    <t>Entry</t>
  </si>
  <si>
    <t>Exit</t>
  </si>
  <si>
    <t xml:space="preserve">Start Pt </t>
  </si>
  <si>
    <t>End Pt</t>
  </si>
  <si>
    <t>m</t>
  </si>
  <si>
    <t>M</t>
  </si>
  <si>
    <t>`</t>
  </si>
  <si>
    <t>Average % Error for Height Data vs to mean Height</t>
  </si>
  <si>
    <t xml:space="preserve">Averaged Across all Plot Groups for entire area of plots </t>
  </si>
  <si>
    <t>Number of Samples Taken (Radom Simulated reduction)</t>
  </si>
  <si>
    <t>Sample set</t>
  </si>
  <si>
    <t>Grazing</t>
  </si>
  <si>
    <t>Date</t>
  </si>
  <si>
    <t>CV%</t>
  </si>
  <si>
    <t>Avg</t>
  </si>
  <si>
    <t>Avg HM error</t>
  </si>
  <si>
    <t>mm</t>
  </si>
  <si>
    <t>%</t>
  </si>
  <si>
    <t>Est. Sampling Cost</t>
  </si>
  <si>
    <t>/Ha</t>
  </si>
  <si>
    <t>Eq Coefficents</t>
  </si>
  <si>
    <t>a</t>
  </si>
  <si>
    <t>b</t>
  </si>
  <si>
    <t>Coefficients</t>
  </si>
  <si>
    <t xml:space="preserve">Labour unit cost </t>
  </si>
  <si>
    <t>€/hr</t>
  </si>
  <si>
    <t xml:space="preserve">Walking Pace </t>
  </si>
  <si>
    <t xml:space="preserve">m/s </t>
  </si>
  <si>
    <t>HM utilisation value</t>
  </si>
  <si>
    <t>€kg/Ha</t>
  </si>
  <si>
    <t>mins</t>
  </si>
  <si>
    <t>hrs</t>
  </si>
  <si>
    <t xml:space="preserve">Est. Error Cost </t>
  </si>
  <si>
    <t xml:space="preserve">Pasture Estimations </t>
  </si>
  <si>
    <t>€/ton/Ha</t>
  </si>
  <si>
    <t>Exit Pt</t>
  </si>
  <si>
    <t>Equation Details</t>
  </si>
  <si>
    <t>PBI</t>
  </si>
  <si>
    <t>NZ</t>
  </si>
  <si>
    <t>Area Calculation</t>
  </si>
  <si>
    <t>Id</t>
  </si>
  <si>
    <t>Xx</t>
  </si>
  <si>
    <t>Yx</t>
  </si>
  <si>
    <t>Area</t>
  </si>
  <si>
    <t>m2</t>
  </si>
  <si>
    <t>Ha</t>
  </si>
  <si>
    <t>€/Ha</t>
  </si>
  <si>
    <t>m/Ha</t>
  </si>
  <si>
    <t>Rising plate meter</t>
  </si>
  <si>
    <t xml:space="preserve">Paddock Name </t>
  </si>
  <si>
    <t>Paddock 38 C</t>
  </si>
  <si>
    <t xml:space="preserve">Distance </t>
  </si>
  <si>
    <t xml:space="preserve">Time </t>
  </si>
  <si>
    <t>Point ID</t>
  </si>
  <si>
    <t>Grass</t>
  </si>
  <si>
    <t>Grass &amp; Clover</t>
  </si>
  <si>
    <t>mins/Ha</t>
  </si>
  <si>
    <t>kg DM/Ha</t>
  </si>
  <si>
    <t>Area =</t>
  </si>
  <si>
    <t>Sample Rate =</t>
  </si>
  <si>
    <t>Distance =</t>
  </si>
  <si>
    <t>Error =</t>
  </si>
  <si>
    <t>GMOT</t>
  </si>
  <si>
    <t>GMOT Model Parameters</t>
  </si>
  <si>
    <t>ln of below</t>
  </si>
  <si>
    <t>Sample No.</t>
  </si>
  <si>
    <t xml:space="preserve">Optimum Route Co-ord </t>
  </si>
  <si>
    <t>Start</t>
  </si>
  <si>
    <t>Finish</t>
  </si>
  <si>
    <t xml:space="preserve">Lat </t>
  </si>
  <si>
    <t xml:space="preserve">Long </t>
  </si>
  <si>
    <t xml:space="preserve">Mean </t>
  </si>
  <si>
    <t>SD</t>
  </si>
  <si>
    <t>Probability Distrubution (1 = MAX, 499=MIN)</t>
  </si>
  <si>
    <t>Rand Prob Gen</t>
  </si>
  <si>
    <r>
      <rPr>
        <b/>
        <sz val="11"/>
        <color theme="1"/>
        <rFont val="Calibri"/>
        <family val="2"/>
        <scheme val="minor"/>
      </rPr>
      <t>CSH Sim</t>
    </r>
    <r>
      <rPr>
        <sz val="11"/>
        <color theme="1"/>
        <rFont val="Calibri"/>
        <family val="2"/>
        <scheme val="minor"/>
      </rPr>
      <t xml:space="preserve"> (based on selected sample rate</t>
    </r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</si>
  <si>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</si>
  <si>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</si>
  <si>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</si>
  <si>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</si>
  <si>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</si>
  <si>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</si>
  <si>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</si>
  <si>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</si>
  <si>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</si>
  <si>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</si>
  <si>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 xml:space="preserve">Predicted True Mean CSH </t>
  </si>
  <si>
    <t xml:space="preserve">Predicted True Mean HM </t>
  </si>
  <si>
    <t>kg DM ha-1</t>
  </si>
  <si>
    <t>sim err</t>
  </si>
  <si>
    <t xml:space="preserve">Note: mena and sd taken from </t>
  </si>
  <si>
    <t>250 error</t>
  </si>
  <si>
    <t xml:space="preserve">Note: 25 = 95% CI </t>
  </si>
  <si>
    <t>Averages</t>
  </si>
  <si>
    <t>These values need to by dynamic for each sample rate</t>
  </si>
  <si>
    <t>Mean Error</t>
  </si>
  <si>
    <t>FIXed</t>
  </si>
  <si>
    <t xml:space="preserve">RMSE </t>
  </si>
  <si>
    <t>Annual</t>
  </si>
  <si>
    <t xml:space="preserve">Measurement Rate </t>
  </si>
  <si>
    <t>Simulated values</t>
  </si>
  <si>
    <t>Est. True mean CSH (mm)</t>
  </si>
  <si>
    <t>Sample rate csh err%</t>
  </si>
  <si>
    <t>simulated error</t>
  </si>
  <si>
    <t>Sim CSH values (mm)</t>
  </si>
  <si>
    <t xml:space="preserve">Left skewed distribution for meaurement rate of 1/ha </t>
  </si>
  <si>
    <t>Simuated SQRT Err</t>
  </si>
  <si>
    <t>Simuated CSH%</t>
  </si>
  <si>
    <t>Backtrans %</t>
  </si>
  <si>
    <t>Prob dist</t>
  </si>
  <si>
    <t xml:space="preserve">Left skewed distribution for meaurement rate of 8/ha </t>
  </si>
  <si>
    <t>Note: values taken from HM error outliers removed sheet</t>
  </si>
  <si>
    <t>Predicted HM (+CSH error)</t>
  </si>
  <si>
    <t>Predicted HM Err (%CSH error)</t>
  </si>
  <si>
    <t>Simulated calibration Error %</t>
  </si>
  <si>
    <t xml:space="preserve"> =</t>
  </si>
  <si>
    <t>Predicted HM (CSH error + calibration error)</t>
  </si>
  <si>
    <t>Measurement No.</t>
  </si>
  <si>
    <t>Note: negative value = over prediction</t>
  </si>
  <si>
    <t>Predicted CSH Err (%mm)</t>
  </si>
  <si>
    <t>log mean</t>
  </si>
  <si>
    <t>log SD</t>
  </si>
  <si>
    <t xml:space="preserve">Left skewed distribution for meaurement rate of 4/ha </t>
  </si>
  <si>
    <t xml:space="preserve">Left skewed distribution for meaurement rate of 2/ha </t>
  </si>
  <si>
    <t>trans mean</t>
  </si>
  <si>
    <t>trans sd</t>
  </si>
  <si>
    <t>trans max</t>
  </si>
  <si>
    <t xml:space="preserve">Select HM Cal </t>
  </si>
  <si>
    <t xml:space="preserve">Calibration Simulation Values </t>
  </si>
  <si>
    <t>log</t>
  </si>
  <si>
    <t>Max</t>
  </si>
  <si>
    <t>Max err</t>
  </si>
  <si>
    <t>Sim HM Log Err</t>
  </si>
  <si>
    <t xml:space="preserve">Sanderson ideal calibration </t>
  </si>
  <si>
    <t>Sim HM Err</t>
  </si>
  <si>
    <t>log %</t>
  </si>
  <si>
    <t>HM calibration log transformed error</t>
  </si>
  <si>
    <t>mean</t>
  </si>
  <si>
    <t>HM calibration Norm transformed error</t>
  </si>
  <si>
    <t>Calibration</t>
  </si>
  <si>
    <t xml:space="preserve">Standard (PBI) calibration </t>
  </si>
  <si>
    <t xml:space="preserve">Max optimise time </t>
  </si>
  <si>
    <t>Measurement Protocol Details</t>
  </si>
  <si>
    <t>Survey Results</t>
  </si>
  <si>
    <t>Measure System</t>
  </si>
  <si>
    <t>Monthly</t>
  </si>
  <si>
    <t>ITM X</t>
  </si>
  <si>
    <t>ITM Y</t>
  </si>
  <si>
    <t>Route output data</t>
  </si>
  <si>
    <t>OUTPUT</t>
  </si>
  <si>
    <t>Protocol details</t>
  </si>
  <si>
    <t>Paddock:</t>
  </si>
  <si>
    <t>Date:</t>
  </si>
  <si>
    <t>Title:</t>
  </si>
  <si>
    <t>Measurement no.</t>
  </si>
  <si>
    <t>Designed by:</t>
  </si>
  <si>
    <t>Measurement location co-ordinates</t>
  </si>
  <si>
    <t>Default</t>
  </si>
  <si>
    <t>Ordered</t>
  </si>
  <si>
    <t>Units</t>
  </si>
  <si>
    <t>Month</t>
  </si>
  <si>
    <t>€/ha</t>
  </si>
  <si>
    <t>Labour cost</t>
  </si>
  <si>
    <t xml:space="preserve">Error cost </t>
  </si>
  <si>
    <t>Sample rate</t>
  </si>
  <si>
    <t>Target post height</t>
  </si>
  <si>
    <t xml:space="preserve">Est. grass height </t>
  </si>
  <si>
    <t xml:space="preserve">Herbage mass </t>
  </si>
  <si>
    <t>Measure error</t>
  </si>
  <si>
    <t>Actual error</t>
  </si>
  <si>
    <t>kg</t>
  </si>
  <si>
    <t>measured HM Value</t>
  </si>
  <si>
    <t>HM value</t>
  </si>
  <si>
    <t>Protocol value</t>
  </si>
  <si>
    <t>Protocol Results</t>
  </si>
  <si>
    <t>Optimised</t>
  </si>
  <si>
    <t>Route</t>
  </si>
  <si>
    <t>Survey value</t>
  </si>
  <si>
    <t>Calibration error</t>
  </si>
  <si>
    <t>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</si>
</sst>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0000"/>
    <numFmt numFmtId="166" formatCode="0.0000"/>
    <numFmt numFmtId="167" formatCode="0.000%"/>
    <numFmt numFmtId="168" formatCode="#,##0.0000"/>
  </numFmts>
  <fonts count="3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sz val="12"/>
      <color rgb="FF000000"/>
      <name val="Times New Roman"/>
      <family val="1"/>
    </font>
    <font>
      <sz val="11"/>
      <color rgb="FFFF000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9"/>
      <name val="SansSerif"/>
      <charset val="2"/>
    </font>
    <font>
      <b/>
      <sz val="9"/>
      <name val="SansSerif"/>
      <charset val="2"/>
    </font>
    <font>
      <sz val="8"/>
      <name val="SansSerif"/>
      <charset val="2"/>
    </font>
    <font>
      <sz val="10"/>
      <name val="Calibri"/>
      <family val="2"/>
      <scheme val="minor"/>
    </font>
    <font>
      <b/>
      <sz val="9"/>
      <name val="Arial"/>
      <family val="2"/>
    </font>
    <font>
      <sz val="11"/>
      <color theme="1"/>
      <name val="Arial"/>
      <family val="2"/>
    </font>
    <font>
      <sz val="9"/>
      <name val="Arial"/>
      <family val="2"/>
    </font>
    <font>
      <b/>
      <sz val="11"/>
      <color theme="1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8"/>
      <name val="Arial"/>
      <family val="2"/>
    </font>
    <font>
      <b/>
      <sz val="10"/>
      <color theme="1"/>
      <name val="Arial"/>
      <family val="2"/>
    </font>
    <font>
      <b/>
      <i/>
      <sz val="10"/>
      <color theme="1"/>
      <name val="Arial"/>
      <family val="2"/>
    </font>
    <font>
      <sz val="11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10"/>
      <color rgb="FFFF0000"/>
      <name val="Arial"/>
      <family val="2"/>
    </font>
    <font>
      <b/>
      <sz val="10"/>
      <color rgb="FF009900"/>
      <name val="Arial"/>
      <family val="2"/>
    </font>
  </fonts>
  <fills count="2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75">
    <xf numFmtId="0" fontId="0" fillId="0" borderId="0" xfId="0"/>
    <xf numFmtId="0" fontId="0" fillId="0" borderId="1" xfId="0" applyBorder="1"/>
    <xf numFmtId="0" fontId="0" fillId="0" borderId="1" xfId="0" applyFill="1" applyBorder="1"/>
    <xf numFmtId="0" fontId="0" fillId="2" borderId="0" xfId="0" applyFill="1"/>
    <xf numFmtId="0" fontId="0" fillId="2" borderId="1" xfId="0" applyFill="1" applyBorder="1"/>
    <xf numFmtId="0" fontId="0" fillId="3" borderId="0" xfId="0" applyFill="1"/>
    <xf numFmtId="0" fontId="0" fillId="3" borderId="1" xfId="0" applyFill="1" applyBorder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3" xfId="0" applyFont="1" applyBorder="1" applyAlignment="1">
      <alignment horizontal="center"/>
    </xf>
    <xf numFmtId="0" fontId="0" fillId="0" borderId="4" xfId="0" applyBorder="1"/>
    <xf numFmtId="0" fontId="1" fillId="0" borderId="5" xfId="0" applyFont="1" applyBorder="1" applyAlignment="1">
      <alignment horizontal="center"/>
    </xf>
    <xf numFmtId="0" fontId="0" fillId="0" borderId="0" xfId="0" applyBorder="1"/>
    <xf numFmtId="0" fontId="0" fillId="0" borderId="2" xfId="0" applyBorder="1"/>
    <xf numFmtId="0" fontId="1" fillId="0" borderId="6" xfId="0" applyFont="1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1" fillId="0" borderId="2" xfId="0" applyFont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1" fillId="0" borderId="0" xfId="0" applyFont="1"/>
    <xf numFmtId="0" fontId="0" fillId="0" borderId="0" xfId="0" applyBorder="1" applyAlignment="1">
      <alignment horizontal="center" vertical="center"/>
    </xf>
    <xf numFmtId="0" fontId="0" fillId="0" borderId="5" xfId="0" applyBorder="1"/>
    <xf numFmtId="0" fontId="1" fillId="0" borderId="0" xfId="0" applyFont="1" applyBorder="1" applyAlignment="1">
      <alignment horizontal="center" vertical="center"/>
    </xf>
    <xf numFmtId="0" fontId="0" fillId="0" borderId="0" xfId="0" applyFill="1" applyBorder="1"/>
    <xf numFmtId="0" fontId="1" fillId="0" borderId="0" xfId="0" applyFont="1" applyBorder="1" applyAlignment="1">
      <alignment horizontal="center"/>
    </xf>
    <xf numFmtId="1" fontId="1" fillId="4" borderId="0" xfId="0" applyNumberFormat="1" applyFont="1" applyFill="1" applyBorder="1" applyAlignment="1">
      <alignment horizontal="center" vertical="center"/>
    </xf>
    <xf numFmtId="1" fontId="1" fillId="4" borderId="2" xfId="0" applyNumberFormat="1" applyFont="1" applyFill="1" applyBorder="1" applyAlignment="1">
      <alignment horizontal="center" vertical="center"/>
    </xf>
    <xf numFmtId="0" fontId="0" fillId="5" borderId="0" xfId="0" applyFill="1"/>
    <xf numFmtId="2" fontId="0" fillId="0" borderId="0" xfId="0" applyNumberFormat="1"/>
    <xf numFmtId="0" fontId="0" fillId="6" borderId="0" xfId="0" applyFill="1"/>
    <xf numFmtId="0" fontId="0" fillId="7" borderId="0" xfId="0" applyFill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0" xfId="0" applyFill="1"/>
    <xf numFmtId="0" fontId="0" fillId="9" borderId="0" xfId="0" applyFill="1"/>
    <xf numFmtId="0" fontId="0" fillId="8" borderId="0" xfId="0" applyFill="1" applyAlignment="1">
      <alignment horizontal="center"/>
    </xf>
    <xf numFmtId="0" fontId="0" fillId="10" borderId="0" xfId="0" applyFill="1"/>
    <xf numFmtId="1" fontId="1" fillId="0" borderId="2" xfId="0" applyNumberFormat="1" applyFont="1" applyFill="1" applyBorder="1" applyAlignment="1">
      <alignment horizontal="center" vertical="center"/>
    </xf>
    <xf numFmtId="0" fontId="0" fillId="0" borderId="2" xfId="0" applyFill="1" applyBorder="1"/>
    <xf numFmtId="0" fontId="0" fillId="0" borderId="20" xfId="0" applyBorder="1"/>
    <xf numFmtId="0" fontId="1" fillId="0" borderId="21" xfId="0" applyFont="1" applyBorder="1" applyAlignment="1"/>
    <xf numFmtId="0" fontId="1" fillId="0" borderId="21" xfId="0" applyNumberFormat="1" applyFont="1" applyBorder="1" applyAlignment="1"/>
    <xf numFmtId="0" fontId="1" fillId="0" borderId="23" xfId="0" applyFont="1" applyBorder="1" applyAlignment="1">
      <alignment horizontal="center" wrapText="1"/>
    </xf>
    <xf numFmtId="0" fontId="1" fillId="0" borderId="23" xfId="0" applyNumberFormat="1" applyFont="1" applyBorder="1" applyAlignment="1">
      <alignment horizontal="center" wrapText="1"/>
    </xf>
    <xf numFmtId="1" fontId="1" fillId="4" borderId="24" xfId="0" applyNumberFormat="1" applyFont="1" applyFill="1" applyBorder="1" applyAlignment="1">
      <alignment horizontal="center" vertical="center"/>
    </xf>
    <xf numFmtId="1" fontId="1" fillId="4" borderId="25" xfId="0" applyNumberFormat="1" applyFont="1" applyFill="1" applyBorder="1" applyAlignment="1">
      <alignment horizontal="center" vertical="center"/>
    </xf>
    <xf numFmtId="1" fontId="1" fillId="4" borderId="26" xfId="0" applyNumberFormat="1" applyFont="1" applyFill="1" applyBorder="1" applyAlignment="1">
      <alignment horizontal="center" vertical="center"/>
    </xf>
    <xf numFmtId="14" fontId="1" fillId="0" borderId="8" xfId="0" applyNumberFormat="1" applyFont="1" applyBorder="1" applyAlignment="1">
      <alignment horizontal="center" wrapText="1"/>
    </xf>
    <xf numFmtId="1" fontId="1" fillId="0" borderId="8" xfId="0" applyNumberFormat="1" applyFont="1" applyBorder="1" applyAlignment="1">
      <alignment horizontal="center" wrapText="1"/>
    </xf>
    <xf numFmtId="2" fontId="0" fillId="0" borderId="27" xfId="0" applyNumberFormat="1" applyFont="1" applyBorder="1" applyAlignment="1">
      <alignment horizontal="center" vertical="center"/>
    </xf>
    <xf numFmtId="2" fontId="0" fillId="0" borderId="28" xfId="0" applyNumberFormat="1" applyFont="1" applyBorder="1" applyAlignment="1">
      <alignment horizontal="center" vertical="center"/>
    </xf>
    <xf numFmtId="14" fontId="1" fillId="0" borderId="21" xfId="0" applyNumberFormat="1" applyFont="1" applyBorder="1" applyAlignment="1">
      <alignment horizontal="center" wrapText="1"/>
    </xf>
    <xf numFmtId="1" fontId="1" fillId="0" borderId="21" xfId="0" applyNumberFormat="1" applyFont="1" applyBorder="1" applyAlignment="1">
      <alignment horizontal="center" wrapText="1"/>
    </xf>
    <xf numFmtId="2" fontId="0" fillId="0" borderId="1" xfId="0" applyNumberFormat="1" applyFont="1" applyBorder="1" applyAlignment="1">
      <alignment horizontal="center" vertical="center"/>
    </xf>
    <xf numFmtId="2" fontId="0" fillId="0" borderId="22" xfId="0" applyNumberFormat="1" applyFont="1" applyBorder="1" applyAlignment="1">
      <alignment horizontal="center" vertical="center"/>
    </xf>
    <xf numFmtId="2" fontId="0" fillId="11" borderId="1" xfId="0" applyNumberFormat="1" applyFont="1" applyFill="1" applyBorder="1" applyAlignment="1">
      <alignment horizontal="center" vertical="center"/>
    </xf>
    <xf numFmtId="2" fontId="0" fillId="11" borderId="22" xfId="0" applyNumberFormat="1" applyFont="1" applyFill="1" applyBorder="1" applyAlignment="1">
      <alignment horizontal="center" vertical="center"/>
    </xf>
    <xf numFmtId="0" fontId="1" fillId="0" borderId="21" xfId="0" applyFont="1" applyBorder="1" applyAlignment="1">
      <alignment horizontal="center" wrapText="1"/>
    </xf>
    <xf numFmtId="1" fontId="1" fillId="12" borderId="21" xfId="0" applyNumberFormat="1" applyFont="1" applyFill="1" applyBorder="1" applyAlignment="1">
      <alignment horizontal="center" wrapText="1"/>
    </xf>
    <xf numFmtId="2" fontId="0" fillId="9" borderId="1" xfId="0" applyNumberFormat="1" applyFill="1" applyBorder="1"/>
    <xf numFmtId="2" fontId="0" fillId="9" borderId="22" xfId="0" applyNumberFormat="1" applyFill="1" applyBorder="1"/>
    <xf numFmtId="0" fontId="0" fillId="0" borderId="29" xfId="0" applyBorder="1"/>
    <xf numFmtId="0" fontId="0" fillId="0" borderId="30" xfId="0" applyBorder="1"/>
    <xf numFmtId="0" fontId="1" fillId="0" borderId="31" xfId="0" applyFont="1" applyBorder="1"/>
    <xf numFmtId="1" fontId="0" fillId="0" borderId="31" xfId="0" applyNumberFormat="1" applyBorder="1"/>
    <xf numFmtId="0" fontId="0" fillId="13" borderId="30" xfId="0" applyFill="1" applyBorder="1"/>
    <xf numFmtId="2" fontId="0" fillId="0" borderId="0" xfId="0" applyNumberFormat="1" applyFont="1" applyBorder="1" applyAlignment="1">
      <alignment horizontal="center" vertical="center"/>
    </xf>
    <xf numFmtId="1" fontId="0" fillId="0" borderId="0" xfId="0" applyNumberFormat="1"/>
    <xf numFmtId="164" fontId="0" fillId="0" borderId="0" xfId="0" applyNumberFormat="1"/>
    <xf numFmtId="0" fontId="0" fillId="11" borderId="0" xfId="0" applyFill="1"/>
    <xf numFmtId="0" fontId="6" fillId="0" borderId="0" xfId="0" applyFont="1" applyFill="1"/>
    <xf numFmtId="0" fontId="6" fillId="0" borderId="0" xfId="0" applyFont="1" applyFill="1" applyBorder="1"/>
    <xf numFmtId="164" fontId="8" fillId="0" borderId="1" xfId="0" applyNumberFormat="1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/>
    </xf>
    <xf numFmtId="2" fontId="9" fillId="0" borderId="1" xfId="0" applyNumberFormat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22" xfId="0" applyFont="1" applyFill="1" applyBorder="1" applyAlignment="1">
      <alignment horizontal="left" vertical="center"/>
    </xf>
    <xf numFmtId="0" fontId="8" fillId="0" borderId="0" xfId="0" applyFont="1" applyFill="1" applyAlignment="1">
      <alignment horizontal="center"/>
    </xf>
    <xf numFmtId="2" fontId="8" fillId="0" borderId="1" xfId="0" applyNumberFormat="1" applyFont="1" applyFill="1" applyBorder="1" applyAlignment="1">
      <alignment horizontal="center" vertical="center"/>
    </xf>
    <xf numFmtId="49" fontId="6" fillId="0" borderId="0" xfId="0" applyNumberFormat="1" applyFont="1" applyFill="1" applyBorder="1"/>
    <xf numFmtId="0" fontId="6" fillId="0" borderId="0" xfId="0" applyNumberFormat="1" applyFont="1" applyFill="1" applyBorder="1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2" fontId="0" fillId="0" borderId="5" xfId="0" applyNumberFormat="1" applyFont="1" applyBorder="1" applyAlignment="1">
      <alignment horizontal="center" vertical="center"/>
    </xf>
    <xf numFmtId="2" fontId="0" fillId="0" borderId="2" xfId="0" applyNumberFormat="1" applyFont="1" applyBorder="1" applyAlignment="1">
      <alignment horizontal="center" vertical="center"/>
    </xf>
    <xf numFmtId="0" fontId="0" fillId="0" borderId="6" xfId="0" applyBorder="1"/>
    <xf numFmtId="0" fontId="6" fillId="0" borderId="0" xfId="0" applyFont="1" applyFill="1" applyAlignment="1">
      <alignment horizontal="right"/>
    </xf>
    <xf numFmtId="0" fontId="1" fillId="0" borderId="34" xfId="0" applyFont="1" applyBorder="1"/>
    <xf numFmtId="0" fontId="1" fillId="0" borderId="3" xfId="0" applyFont="1" applyBorder="1"/>
    <xf numFmtId="0" fontId="0" fillId="16" borderId="36" xfId="0" applyFill="1" applyBorder="1"/>
    <xf numFmtId="0" fontId="0" fillId="16" borderId="37" xfId="0" applyFill="1" applyBorder="1"/>
    <xf numFmtId="0" fontId="1" fillId="16" borderId="35" xfId="0" applyFont="1" applyFill="1" applyBorder="1"/>
    <xf numFmtId="0" fontId="11" fillId="0" borderId="0" xfId="0" applyFont="1"/>
    <xf numFmtId="0" fontId="0" fillId="0" borderId="0" xfId="0" applyProtection="1"/>
    <xf numFmtId="0" fontId="6" fillId="0" borderId="1" xfId="0" applyFont="1" applyFill="1" applyBorder="1" applyAlignment="1">
      <alignment horizontal="center" vertical="center"/>
    </xf>
    <xf numFmtId="0" fontId="8" fillId="0" borderId="27" xfId="0" applyFont="1" applyFill="1" applyBorder="1" applyAlignment="1">
      <alignment vertical="center"/>
    </xf>
    <xf numFmtId="0" fontId="8" fillId="0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7" fillId="0" borderId="27" xfId="0" applyFont="1" applyFill="1" applyBorder="1" applyAlignment="1">
      <alignment vertical="center"/>
    </xf>
    <xf numFmtId="0" fontId="6" fillId="0" borderId="27" xfId="0" applyFont="1" applyFill="1" applyBorder="1" applyAlignment="1">
      <alignment vertical="center"/>
    </xf>
    <xf numFmtId="0" fontId="6" fillId="0" borderId="33" xfId="0" applyFont="1" applyFill="1" applyBorder="1" applyAlignment="1">
      <alignment vertical="center"/>
    </xf>
    <xf numFmtId="0" fontId="0" fillId="0" borderId="1" xfId="0" applyBorder="1" applyAlignment="1">
      <alignment vertical="center"/>
    </xf>
    <xf numFmtId="0" fontId="6" fillId="0" borderId="27" xfId="0" applyFon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/>
    </xf>
    <xf numFmtId="0" fontId="6" fillId="0" borderId="21" xfId="0" applyFont="1" applyFill="1" applyBorder="1" applyAlignment="1">
      <alignment horizontal="center" vertical="center"/>
    </xf>
    <xf numFmtId="1" fontId="6" fillId="0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0" fontId="0" fillId="0" borderId="0" xfId="0"/>
    <xf numFmtId="0" fontId="0" fillId="11" borderId="1" xfId="0" applyFill="1" applyBorder="1"/>
    <xf numFmtId="0" fontId="6" fillId="17" borderId="1" xfId="0" applyFont="1" applyFill="1" applyBorder="1" applyAlignment="1" applyProtection="1">
      <alignment horizontal="center" vertical="center"/>
      <protection locked="0"/>
    </xf>
    <xf numFmtId="0" fontId="6" fillId="0" borderId="0" xfId="0" applyFont="1" applyFill="1" applyBorder="1" applyAlignment="1">
      <alignment horizontal="left"/>
    </xf>
    <xf numFmtId="0" fontId="12" fillId="18" borderId="0" xfId="0" applyFont="1" applyFill="1" applyAlignment="1">
      <alignment horizontal="center" vertical="center"/>
    </xf>
    <xf numFmtId="0" fontId="12" fillId="18" borderId="15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1" fillId="0" borderId="0" xfId="0" applyFont="1" applyAlignment="1">
      <alignment wrapText="1"/>
    </xf>
    <xf numFmtId="10" fontId="0" fillId="0" borderId="0" xfId="0" applyNumberFormat="1"/>
    <xf numFmtId="2" fontId="0" fillId="0" borderId="39" xfId="0" applyNumberFormat="1" applyBorder="1"/>
    <xf numFmtId="165" fontId="0" fillId="0" borderId="0" xfId="0" applyNumberFormat="1"/>
    <xf numFmtId="0" fontId="0" fillId="0" borderId="1" xfId="0" applyBorder="1" applyAlignment="1">
      <alignment horizontal="center"/>
    </xf>
    <xf numFmtId="166" fontId="0" fillId="0" borderId="0" xfId="0" applyNumberFormat="1"/>
    <xf numFmtId="0" fontId="13" fillId="11" borderId="0" xfId="0" applyFont="1" applyFill="1"/>
    <xf numFmtId="0" fontId="13" fillId="11" borderId="0" xfId="0" applyFont="1" applyFill="1" applyAlignment="1">
      <alignment horizontal="center" vertical="center"/>
    </xf>
    <xf numFmtId="0" fontId="0" fillId="17" borderId="1" xfId="0" applyFill="1" applyBorder="1"/>
    <xf numFmtId="0" fontId="0" fillId="15" borderId="40" xfId="0" applyFill="1" applyBorder="1" applyAlignment="1">
      <alignment horizontal="center" vertical="center"/>
    </xf>
    <xf numFmtId="0" fontId="0" fillId="0" borderId="40" xfId="0" applyFill="1" applyBorder="1" applyAlignment="1">
      <alignment vertical="center"/>
    </xf>
    <xf numFmtId="0" fontId="12" fillId="18" borderId="0" xfId="0" applyFont="1" applyFill="1" applyBorder="1" applyAlignment="1">
      <alignment horizontal="center" vertical="center"/>
    </xf>
    <xf numFmtId="166" fontId="1" fillId="11" borderId="41" xfId="0" applyNumberFormat="1" applyFont="1" applyFill="1" applyBorder="1"/>
    <xf numFmtId="1" fontId="0" fillId="0" borderId="7" xfId="0" applyNumberFormat="1" applyBorder="1"/>
    <xf numFmtId="166" fontId="0" fillId="0" borderId="7" xfId="0" applyNumberFormat="1" applyBorder="1"/>
    <xf numFmtId="165" fontId="0" fillId="11" borderId="0" xfId="0" applyNumberFormat="1" applyFill="1"/>
    <xf numFmtId="0" fontId="1" fillId="0" borderId="0" xfId="0" applyFont="1" applyFill="1" applyAlignment="1">
      <alignment wrapText="1"/>
    </xf>
    <xf numFmtId="164" fontId="0" fillId="11" borderId="0" xfId="0" applyNumberFormat="1" applyFill="1"/>
    <xf numFmtId="0" fontId="0" fillId="19" borderId="0" xfId="0" applyFill="1"/>
    <xf numFmtId="164" fontId="0" fillId="19" borderId="0" xfId="0" applyNumberFormat="1" applyFill="1"/>
    <xf numFmtId="0" fontId="13" fillId="0" borderId="0" xfId="0" applyFont="1" applyFill="1"/>
    <xf numFmtId="167" fontId="0" fillId="0" borderId="0" xfId="0" applyNumberFormat="1"/>
    <xf numFmtId="10" fontId="0" fillId="0" borderId="0" xfId="0" applyNumberFormat="1" applyAlignment="1">
      <alignment horizontal="center"/>
    </xf>
    <xf numFmtId="0" fontId="0" fillId="17" borderId="0" xfId="0" applyFill="1" applyAlignment="1">
      <alignment wrapText="1"/>
    </xf>
    <xf numFmtId="0" fontId="0" fillId="17" borderId="0" xfId="0" applyFill="1"/>
    <xf numFmtId="0" fontId="0" fillId="20" borderId="0" xfId="0" applyFill="1"/>
    <xf numFmtId="2" fontId="0" fillId="0" borderId="0" xfId="0" applyNumberFormat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164" fontId="0" fillId="17" borderId="0" xfId="0" applyNumberFormat="1" applyFill="1"/>
    <xf numFmtId="0" fontId="0" fillId="14" borderId="0" xfId="0" applyFill="1"/>
    <xf numFmtId="2" fontId="0" fillId="14" borderId="0" xfId="0" applyNumberFormat="1" applyFill="1"/>
    <xf numFmtId="168" fontId="0" fillId="14" borderId="0" xfId="0" applyNumberFormat="1" applyFill="1" applyAlignment="1">
      <alignment horizontal="left"/>
    </xf>
    <xf numFmtId="0" fontId="0" fillId="21" borderId="0" xfId="0" applyFill="1"/>
    <xf numFmtId="10" fontId="0" fillId="22" borderId="0" xfId="0" applyNumberFormat="1" applyFill="1"/>
    <xf numFmtId="4" fontId="0" fillId="11" borderId="0" xfId="0" applyNumberFormat="1" applyFill="1" applyAlignment="1">
      <alignment horizontal="center" vertical="center"/>
    </xf>
    <xf numFmtId="0" fontId="14" fillId="0" borderId="0" xfId="0" applyFont="1" applyFill="1"/>
    <xf numFmtId="0" fontId="0" fillId="15" borderId="0" xfId="0" applyFill="1"/>
    <xf numFmtId="0" fontId="1" fillId="15" borderId="0" xfId="0" applyFont="1" applyFill="1" applyAlignment="1">
      <alignment horizontal="center"/>
    </xf>
    <xf numFmtId="0" fontId="0" fillId="15" borderId="7" xfId="0" applyFill="1" applyBorder="1"/>
    <xf numFmtId="0" fontId="16" fillId="15" borderId="0" xfId="0" applyFont="1" applyFill="1"/>
    <xf numFmtId="0" fontId="17" fillId="15" borderId="0" xfId="0" applyFont="1" applyFill="1" applyAlignment="1">
      <alignment horizontal="center"/>
    </xf>
    <xf numFmtId="0" fontId="16" fillId="15" borderId="7" xfId="0" applyFont="1" applyFill="1" applyBorder="1"/>
    <xf numFmtId="0" fontId="19" fillId="15" borderId="0" xfId="0" applyFont="1" applyFill="1" applyBorder="1" applyAlignment="1">
      <alignment horizontal="center" vertical="center"/>
    </xf>
    <xf numFmtId="0" fontId="18" fillId="15" borderId="0" xfId="0" applyFont="1" applyFill="1" applyBorder="1" applyAlignment="1">
      <alignment horizontal="center" vertical="center"/>
    </xf>
    <xf numFmtId="1" fontId="20" fillId="23" borderId="1" xfId="0" applyNumberFormat="1" applyFont="1" applyFill="1" applyBorder="1" applyAlignment="1">
      <alignment horizontal="center" vertical="center"/>
    </xf>
    <xf numFmtId="0" fontId="19" fillId="15" borderId="2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1" fontId="0" fillId="2" borderId="1" xfId="0" applyNumberFormat="1" applyFill="1" applyBorder="1"/>
    <xf numFmtId="0" fontId="1" fillId="0" borderId="5" xfId="0" applyFon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11" fillId="0" borderId="0" xfId="0" applyFont="1" applyBorder="1"/>
    <xf numFmtId="0" fontId="0" fillId="0" borderId="0" xfId="0" applyBorder="1" applyAlignment="1">
      <alignment horizontal="center" vertical="center" wrapText="1"/>
    </xf>
    <xf numFmtId="14" fontId="0" fillId="0" borderId="0" xfId="0" applyNumberFormat="1"/>
    <xf numFmtId="0" fontId="1" fillId="0" borderId="0" xfId="0" applyFont="1" applyAlignment="1">
      <alignment horizontal="left" vertical="center"/>
    </xf>
    <xf numFmtId="2" fontId="21" fillId="0" borderId="1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2" fillId="15" borderId="1" xfId="0" applyFont="1" applyFill="1" applyBorder="1" applyAlignment="1">
      <alignment horizontal="center" vertical="center"/>
    </xf>
    <xf numFmtId="1" fontId="23" fillId="0" borderId="1" xfId="0" applyNumberFormat="1" applyFont="1" applyBorder="1" applyAlignment="1">
      <alignment horizontal="center" vertical="center"/>
    </xf>
    <xf numFmtId="0" fontId="24" fillId="15" borderId="1" xfId="0" applyFont="1" applyFill="1" applyBorder="1" applyAlignment="1">
      <alignment horizontal="center" vertical="center"/>
    </xf>
    <xf numFmtId="2" fontId="23" fillId="0" borderId="1" xfId="0" applyNumberFormat="1" applyFont="1" applyBorder="1" applyAlignment="1">
      <alignment horizontal="center" vertical="center"/>
    </xf>
    <xf numFmtId="0" fontId="25" fillId="0" borderId="0" xfId="0" applyFont="1" applyAlignment="1">
      <alignment horizontal="left" vertical="center"/>
    </xf>
    <xf numFmtId="0" fontId="23" fillId="0" borderId="0" xfId="0" applyFont="1" applyAlignment="1">
      <alignment horizontal="center" vertical="center"/>
    </xf>
    <xf numFmtId="0" fontId="23" fillId="0" borderId="0" xfId="0" applyFont="1"/>
    <xf numFmtId="0" fontId="23" fillId="0" borderId="1" xfId="0" applyFont="1" applyBorder="1" applyAlignment="1">
      <alignment horizontal="center" vertical="center" wrapText="1"/>
    </xf>
    <xf numFmtId="0" fontId="23" fillId="0" borderId="1" xfId="0" applyFont="1" applyBorder="1" applyAlignment="1">
      <alignment horizontal="center" vertical="center"/>
    </xf>
    <xf numFmtId="0" fontId="26" fillId="15" borderId="3" xfId="0" applyFont="1" applyFill="1" applyBorder="1" applyProtection="1"/>
    <xf numFmtId="0" fontId="26" fillId="15" borderId="4" xfId="0" applyFont="1" applyFill="1" applyBorder="1" applyProtection="1"/>
    <xf numFmtId="0" fontId="27" fillId="15" borderId="4" xfId="0" applyFont="1" applyFill="1" applyBorder="1" applyProtection="1"/>
    <xf numFmtId="0" fontId="23" fillId="0" borderId="0" xfId="0" applyFont="1" applyProtection="1"/>
    <xf numFmtId="0" fontId="26" fillId="15" borderId="4" xfId="0" applyFont="1" applyFill="1" applyBorder="1"/>
    <xf numFmtId="0" fontId="26" fillId="15" borderId="34" xfId="0" applyFont="1" applyFill="1" applyBorder="1"/>
    <xf numFmtId="0" fontId="26" fillId="15" borderId="5" xfId="0" applyFont="1" applyFill="1" applyBorder="1" applyProtection="1"/>
    <xf numFmtId="0" fontId="26" fillId="15" borderId="0" xfId="0" applyFont="1" applyFill="1" applyBorder="1" applyProtection="1"/>
    <xf numFmtId="0" fontId="27" fillId="15" borderId="0" xfId="0" applyFont="1" applyFill="1" applyBorder="1" applyProtection="1"/>
    <xf numFmtId="0" fontId="22" fillId="15" borderId="0" xfId="0" applyFont="1" applyFill="1" applyBorder="1" applyAlignment="1" applyProtection="1">
      <alignment vertical="center"/>
    </xf>
    <xf numFmtId="0" fontId="28" fillId="15" borderId="0" xfId="0" applyFont="1" applyFill="1" applyBorder="1" applyAlignment="1" applyProtection="1">
      <alignment vertical="top"/>
    </xf>
    <xf numFmtId="0" fontId="28" fillId="15" borderId="2" xfId="0" applyFont="1" applyFill="1" applyBorder="1"/>
    <xf numFmtId="0" fontId="29" fillId="15" borderId="0" xfId="0" applyFont="1" applyFill="1" applyBorder="1" applyAlignment="1" applyProtection="1"/>
    <xf numFmtId="0" fontId="28" fillId="15" borderId="6" xfId="0" applyFont="1" applyFill="1" applyBorder="1"/>
    <xf numFmtId="0" fontId="28" fillId="15" borderId="7" xfId="0" applyFont="1" applyFill="1" applyBorder="1"/>
    <xf numFmtId="0" fontId="28" fillId="15" borderId="8" xfId="0" applyFont="1" applyFill="1" applyBorder="1"/>
    <xf numFmtId="0" fontId="30" fillId="15" borderId="0" xfId="0" applyFont="1" applyFill="1" applyBorder="1" applyAlignment="1" applyProtection="1"/>
    <xf numFmtId="0" fontId="29" fillId="15" borderId="0" xfId="0" applyFont="1" applyFill="1" applyBorder="1" applyAlignment="1" applyProtection="1">
      <alignment horizontal="center"/>
    </xf>
    <xf numFmtId="0" fontId="26" fillId="15" borderId="6" xfId="0" applyFont="1" applyFill="1" applyBorder="1" applyProtection="1"/>
    <xf numFmtId="0" fontId="26" fillId="15" borderId="7" xfId="0" applyFont="1" applyFill="1" applyBorder="1" applyProtection="1"/>
    <xf numFmtId="0" fontId="27" fillId="15" borderId="7" xfId="0" applyFont="1" applyFill="1" applyBorder="1" applyProtection="1"/>
    <xf numFmtId="0" fontId="31" fillId="15" borderId="0" xfId="0" applyFont="1" applyFill="1" applyBorder="1" applyProtection="1"/>
    <xf numFmtId="0" fontId="23" fillId="15" borderId="0" xfId="0" applyFont="1" applyFill="1" applyBorder="1" applyProtection="1"/>
    <xf numFmtId="0" fontId="31" fillId="15" borderId="0" xfId="0" applyFont="1" applyFill="1" applyBorder="1"/>
    <xf numFmtId="1" fontId="27" fillId="15" borderId="0" xfId="0" applyNumberFormat="1" applyFont="1" applyFill="1" applyBorder="1" applyProtection="1"/>
    <xf numFmtId="0" fontId="26" fillId="15" borderId="0" xfId="0" applyFont="1" applyFill="1" applyBorder="1" applyAlignment="1" applyProtection="1">
      <alignment horizontal="center"/>
    </xf>
    <xf numFmtId="0" fontId="26" fillId="15" borderId="0" xfId="0" applyFont="1" applyFill="1" applyBorder="1"/>
    <xf numFmtId="0" fontId="31" fillId="15" borderId="0" xfId="0" applyFont="1" applyFill="1" applyBorder="1" applyAlignment="1" applyProtection="1">
      <alignment horizontal="center"/>
    </xf>
    <xf numFmtId="0" fontId="25" fillId="15" borderId="0" xfId="0" applyFont="1" applyFill="1" applyBorder="1" applyAlignment="1" applyProtection="1">
      <alignment horizontal="center"/>
    </xf>
    <xf numFmtId="0" fontId="26" fillId="15" borderId="0" xfId="0" applyFont="1" applyFill="1" applyBorder="1" applyAlignment="1">
      <alignment horizontal="center"/>
    </xf>
    <xf numFmtId="0" fontId="26" fillId="15" borderId="5" xfId="0" applyFont="1" applyFill="1" applyBorder="1" applyAlignment="1" applyProtection="1">
      <alignment horizontal="center" vertical="center"/>
    </xf>
    <xf numFmtId="0" fontId="26" fillId="15" borderId="2" xfId="0" applyFont="1" applyFill="1" applyBorder="1" applyProtection="1"/>
    <xf numFmtId="0" fontId="26" fillId="15" borderId="1" xfId="0" applyFont="1" applyFill="1" applyBorder="1" applyAlignment="1" applyProtection="1">
      <alignment horizontal="center" vertical="center"/>
      <protection locked="0"/>
    </xf>
    <xf numFmtId="3" fontId="26" fillId="15" borderId="0" xfId="0" applyNumberFormat="1" applyFont="1" applyFill="1" applyBorder="1" applyAlignment="1" applyProtection="1">
      <alignment horizontal="center" vertical="center"/>
    </xf>
    <xf numFmtId="0" fontId="26" fillId="15" borderId="5" xfId="0" applyFont="1" applyFill="1" applyBorder="1" applyAlignment="1" applyProtection="1">
      <alignment horizontal="center" vertical="center" wrapText="1"/>
    </xf>
    <xf numFmtId="9" fontId="26" fillId="15" borderId="0" xfId="0" applyNumberFormat="1" applyFont="1" applyFill="1" applyBorder="1" applyAlignment="1" applyProtection="1">
      <alignment horizontal="center" vertical="center"/>
    </xf>
    <xf numFmtId="1" fontId="33" fillId="15" borderId="0" xfId="0" applyNumberFormat="1" applyFont="1" applyFill="1" applyBorder="1" applyAlignment="1">
      <alignment horizontal="center" vertical="center"/>
    </xf>
    <xf numFmtId="2" fontId="34" fillId="15" borderId="0" xfId="0" applyNumberFormat="1" applyFont="1" applyFill="1" applyBorder="1" applyAlignment="1">
      <alignment horizontal="center" vertical="center"/>
    </xf>
    <xf numFmtId="0" fontId="26" fillId="15" borderId="2" xfId="0" applyFont="1" applyFill="1" applyBorder="1" applyAlignment="1" applyProtection="1">
      <alignment horizontal="left" vertical="center"/>
    </xf>
    <xf numFmtId="1" fontId="26" fillId="15" borderId="1" xfId="0" applyNumberFormat="1" applyFont="1" applyFill="1" applyBorder="1" applyAlignment="1" applyProtection="1">
      <alignment horizontal="center" vertical="center"/>
      <protection locked="0"/>
    </xf>
    <xf numFmtId="0" fontId="26" fillId="15" borderId="1" xfId="0" applyFont="1" applyFill="1" applyBorder="1" applyAlignment="1" applyProtection="1">
      <alignment horizontal="center" vertical="center"/>
      <protection locked="0" hidden="1"/>
    </xf>
    <xf numFmtId="0" fontId="26" fillId="15" borderId="2" xfId="0" applyFont="1" applyFill="1" applyBorder="1" applyAlignment="1" applyProtection="1">
      <alignment vertical="center"/>
    </xf>
    <xf numFmtId="0" fontId="26" fillId="15" borderId="40" xfId="0" applyFont="1" applyFill="1" applyBorder="1"/>
    <xf numFmtId="0" fontId="33" fillId="15" borderId="2" xfId="0" applyFont="1" applyFill="1" applyBorder="1" applyAlignment="1">
      <alignment vertical="center"/>
    </xf>
    <xf numFmtId="0" fontId="33" fillId="15" borderId="8" xfId="0" applyFont="1" applyFill="1" applyBorder="1" applyAlignment="1">
      <alignment vertical="center"/>
    </xf>
    <xf numFmtId="0" fontId="33" fillId="15" borderId="5" xfId="0" applyFont="1" applyFill="1" applyBorder="1" applyAlignment="1">
      <alignment horizontal="center" vertical="center"/>
    </xf>
    <xf numFmtId="0" fontId="33" fillId="15" borderId="6" xfId="0" applyFont="1" applyFill="1" applyBorder="1" applyAlignment="1">
      <alignment horizontal="center" vertical="center"/>
    </xf>
    <xf numFmtId="1" fontId="35" fillId="15" borderId="7" xfId="0" applyNumberFormat="1" applyFont="1" applyFill="1" applyBorder="1" applyAlignment="1">
      <alignment horizontal="center" vertical="center"/>
    </xf>
    <xf numFmtId="0" fontId="32" fillId="15" borderId="3" xfId="0" applyFont="1" applyFill="1" applyBorder="1" applyAlignment="1" applyProtection="1">
      <alignment horizontal="center" vertical="center"/>
    </xf>
    <xf numFmtId="0" fontId="32" fillId="15" borderId="4" xfId="0" applyFont="1" applyFill="1" applyBorder="1" applyAlignment="1" applyProtection="1">
      <alignment horizontal="center" vertical="center"/>
    </xf>
    <xf numFmtId="0" fontId="32" fillId="15" borderId="34" xfId="0" applyFont="1" applyFill="1" applyBorder="1" applyAlignment="1" applyProtection="1">
      <alignment horizontal="center" vertical="center"/>
    </xf>
    <xf numFmtId="0" fontId="26" fillId="15" borderId="5" xfId="0" applyFont="1" applyFill="1" applyBorder="1" applyAlignment="1" applyProtection="1">
      <alignment horizontal="center" vertical="center"/>
    </xf>
    <xf numFmtId="0" fontId="26" fillId="15" borderId="0" xfId="0" applyFont="1" applyFill="1" applyBorder="1" applyAlignment="1" applyProtection="1">
      <alignment horizontal="center" vertical="center"/>
    </xf>
    <xf numFmtId="0" fontId="26" fillId="15" borderId="2" xfId="0" applyFont="1" applyFill="1" applyBorder="1" applyAlignment="1" applyProtection="1">
      <alignment horizontal="center" vertical="center"/>
    </xf>
    <xf numFmtId="0" fontId="32" fillId="15" borderId="3" xfId="0" applyFont="1" applyFill="1" applyBorder="1" applyAlignment="1">
      <alignment horizontal="center" vertical="center"/>
    </xf>
    <xf numFmtId="0" fontId="32" fillId="15" borderId="4" xfId="0" applyFont="1" applyFill="1" applyBorder="1" applyAlignment="1">
      <alignment horizontal="center" vertical="center"/>
    </xf>
    <xf numFmtId="0" fontId="32" fillId="15" borderId="34" xfId="0" applyFont="1" applyFill="1" applyBorder="1" applyAlignment="1">
      <alignment horizontal="center" vertical="center"/>
    </xf>
    <xf numFmtId="0" fontId="32" fillId="15" borderId="5" xfId="0" applyFont="1" applyFill="1" applyBorder="1" applyAlignment="1" applyProtection="1">
      <alignment horizontal="center" vertical="center"/>
    </xf>
    <xf numFmtId="0" fontId="32" fillId="15" borderId="0" xfId="0" applyFont="1" applyFill="1" applyBorder="1" applyAlignment="1" applyProtection="1">
      <alignment horizontal="center" vertical="center"/>
    </xf>
    <xf numFmtId="0" fontId="32" fillId="15" borderId="2" xfId="0" applyFont="1" applyFill="1" applyBorder="1" applyAlignment="1" applyProtection="1">
      <alignment horizontal="center" vertical="center"/>
    </xf>
    <xf numFmtId="0" fontId="22" fillId="15" borderId="5" xfId="0" applyFont="1" applyFill="1" applyBorder="1" applyAlignment="1" applyProtection="1">
      <alignment horizontal="center"/>
    </xf>
    <xf numFmtId="0" fontId="22" fillId="15" borderId="0" xfId="0" applyFont="1" applyFill="1" applyBorder="1" applyAlignment="1" applyProtection="1">
      <alignment horizontal="center"/>
    </xf>
    <xf numFmtId="0" fontId="3" fillId="0" borderId="38" xfId="0" applyFont="1" applyBorder="1" applyAlignment="1">
      <alignment vertical="center"/>
    </xf>
    <xf numFmtId="0" fontId="3" fillId="0" borderId="32" xfId="0" applyFont="1" applyBorder="1" applyAlignment="1">
      <alignment vertical="center"/>
    </xf>
    <xf numFmtId="0" fontId="3" fillId="0" borderId="21" xfId="0" applyFont="1" applyBorder="1" applyAlignment="1">
      <alignment vertical="center"/>
    </xf>
    <xf numFmtId="0" fontId="8" fillId="0" borderId="38" xfId="0" applyFont="1" applyFill="1" applyBorder="1" applyAlignment="1">
      <alignment vertical="center"/>
    </xf>
    <xf numFmtId="0" fontId="8" fillId="0" borderId="21" xfId="0" applyFont="1" applyFill="1" applyBorder="1" applyAlignment="1">
      <alignment vertical="center"/>
    </xf>
    <xf numFmtId="0" fontId="8" fillId="0" borderId="38" xfId="0" applyFont="1" applyFill="1" applyBorder="1" applyAlignment="1">
      <alignment horizontal="center" vertical="center"/>
    </xf>
    <xf numFmtId="0" fontId="8" fillId="0" borderId="21" xfId="0" applyFont="1" applyFill="1" applyBorder="1" applyAlignment="1">
      <alignment horizontal="center" vertical="center"/>
    </xf>
    <xf numFmtId="0" fontId="7" fillId="0" borderId="38" xfId="0" applyFont="1" applyFill="1" applyBorder="1" applyAlignment="1">
      <alignment horizontal="center" vertical="center"/>
    </xf>
    <xf numFmtId="0" fontId="7" fillId="0" borderId="21" xfId="0" applyFont="1" applyFill="1" applyBorder="1" applyAlignment="1">
      <alignment horizontal="center" vertical="center"/>
    </xf>
    <xf numFmtId="0" fontId="22" fillId="15" borderId="38" xfId="0" applyFont="1" applyFill="1" applyBorder="1" applyAlignment="1">
      <alignment horizontal="center" vertical="center"/>
    </xf>
    <xf numFmtId="0" fontId="22" fillId="15" borderId="32" xfId="0" applyFont="1" applyFill="1" applyBorder="1" applyAlignment="1">
      <alignment horizontal="center" vertical="center"/>
    </xf>
    <xf numFmtId="0" fontId="22" fillId="15" borderId="21" xfId="0" applyFont="1" applyFill="1" applyBorder="1" applyAlignment="1">
      <alignment horizontal="center" vertical="center"/>
    </xf>
    <xf numFmtId="0" fontId="1" fillId="0" borderId="0" xfId="0" applyFont="1" applyAlignment="1">
      <alignment horizontal="center" wrapText="1"/>
    </xf>
    <xf numFmtId="0" fontId="19" fillId="15" borderId="0" xfId="0" applyFont="1" applyFill="1" applyBorder="1" applyAlignment="1">
      <alignment horizontal="center" vertical="center"/>
    </xf>
    <xf numFmtId="0" fontId="19" fillId="15" borderId="2" xfId="0" applyFont="1" applyFill="1" applyBorder="1" applyAlignment="1">
      <alignment horizontal="center" vertical="center"/>
    </xf>
    <xf numFmtId="0" fontId="2" fillId="0" borderId="17" xfId="0" applyFont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3" fillId="0" borderId="21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22" xfId="0" applyFont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1" fillId="0" borderId="22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9900"/>
      <color rgb="FF649A40"/>
      <color rgb="FF8CC068"/>
      <color rgb="FF476D2D"/>
      <color rgb="FF66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5.xml"/><Relationship Id="rId1" Type="http://schemas.openxmlformats.org/officeDocument/2006/relationships/themeOverride" Target="../theme/themeOverrid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6670833323670396E-5"/>
          <c:y val="0"/>
          <c:w val="0.99996328645855426"/>
          <c:h val="1"/>
        </c:manualLayout>
      </c:layout>
      <c:scatterChart>
        <c:scatterStyle val="lineMarker"/>
        <c:varyColors val="0"/>
        <c:ser>
          <c:idx val="0"/>
          <c:order val="0"/>
          <c:tx>
            <c:strRef>
              <c:f>'Map Template'!$C$41</c:f>
              <c:strCache>
                <c:ptCount val="1"/>
                <c:pt idx="0">
                  <c:v>ycoord</c:v>
                </c:pt>
              </c:strCache>
            </c:strRef>
          </c:tx>
          <c:spPr>
            <a:ln w="1905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'Map Template'!$B$42:$B$46</c:f>
              <c:numCache>
                <c:formatCode>General</c:formatCode>
                <c:ptCount val="5"/>
                <c:pt idx="0">
                  <c:v>582642.91358000005</c:v>
                </c:pt>
                <c:pt idx="1">
                  <c:v>582845.05923999997</c:v>
                </c:pt>
                <c:pt idx="2">
                  <c:v>582847.37586000003</c:v>
                </c:pt>
                <c:pt idx="3">
                  <c:v>582645.16329000005</c:v>
                </c:pt>
                <c:pt idx="4">
                  <c:v>582642.91358000005</c:v>
                </c:pt>
              </c:numCache>
            </c:numRef>
          </c:xVal>
          <c:yVal>
            <c:numRef>
              <c:f>'Map Template'!$C$42:$C$46</c:f>
              <c:numCache>
                <c:formatCode>General</c:formatCode>
                <c:ptCount val="5"/>
                <c:pt idx="0">
                  <c:v>600914.80507</c:v>
                </c:pt>
                <c:pt idx="1">
                  <c:v>600904.26309000002</c:v>
                </c:pt>
                <c:pt idx="2">
                  <c:v>600949.18533000001</c:v>
                </c:pt>
                <c:pt idx="3">
                  <c:v>600959.79617999995</c:v>
                </c:pt>
                <c:pt idx="4">
                  <c:v>600914.80507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4A-46E2-BBB9-4BA37A2EA26B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>
                  <a:lumMod val="50000"/>
                  <a:alpha val="9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pPr>
                <a:solidFill>
                  <a:schemeClr val="accent2">
                    <a:lumMod val="50000"/>
                  </a:schemeClr>
                </a:solidFill>
                <a:ln w="9525">
                  <a:solidFill>
                    <a:schemeClr val="accent2">
                      <a:lumMod val="50000"/>
                    </a:schemeClr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384A-46E2-BBB9-4BA37A2EA26B}"/>
              </c:ext>
            </c:extLst>
          </c:dPt>
          <c:dPt>
            <c:idx val="1"/>
            <c:marker>
              <c:spPr>
                <a:solidFill>
                  <a:schemeClr val="accent2">
                    <a:lumMod val="50000"/>
                  </a:schemeClr>
                </a:solidFill>
                <a:ln w="9525">
                  <a:solidFill>
                    <a:schemeClr val="accent2">
                      <a:lumMod val="50000"/>
                    </a:schemeClr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chemeClr val="accent2">
                    <a:lumMod val="50000"/>
                    <a:alpha val="90000"/>
                  </a:schemeClr>
                </a:solidFill>
                <a:prstDash val="lgDashDotDot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384A-46E2-BBB9-4BA37A2EA26B}"/>
              </c:ext>
            </c:extLst>
          </c:dPt>
          <c:xVal>
            <c:numRef>
              <c:f>('Map Template'!$A$57,'Map Template'!$D$57)</c:f>
              <c:numCache>
                <c:formatCode>General</c:formatCode>
                <c:ptCount val="2"/>
                <c:pt idx="0">
                  <c:v>582693.45835874998</c:v>
                </c:pt>
                <c:pt idx="1">
                  <c:v>582695.7080687501</c:v>
                </c:pt>
              </c:numCache>
            </c:numRef>
          </c:xVal>
          <c:yVal>
            <c:numRef>
              <c:f>('Map Template'!$B$57,'Map Template'!$E$57)</c:f>
              <c:numCache>
                <c:formatCode>General</c:formatCode>
                <c:ptCount val="2"/>
                <c:pt idx="0">
                  <c:v>600912.16913882701</c:v>
                </c:pt>
                <c:pt idx="1">
                  <c:v>600957.14390637714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84A-46E2-BBB9-4BA37A2EA26B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chemeClr val="accent2">
                  <a:lumMod val="50000"/>
                  <a:alpha val="90000"/>
                </a:schemeClr>
              </a:solidFill>
              <a:prstDash val="lgDashDotDot"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  <a:alpha val="88000"/>
                  </a:schemeClr>
                </a:solidFill>
              </a:ln>
              <a:effectLst/>
            </c:spPr>
          </c:marker>
          <c:xVal>
            <c:numRef>
              <c:f>('Map Template'!$A$58,'Map Template'!$D$58)</c:f>
              <c:numCache>
                <c:formatCode>General</c:formatCode>
                <c:ptCount val="2"/>
                <c:pt idx="0">
                  <c:v>582744.00313750003</c:v>
                </c:pt>
                <c:pt idx="1">
                  <c:v>582746.25284750015</c:v>
                </c:pt>
              </c:numCache>
            </c:numRef>
          </c:xVal>
          <c:yVal>
            <c:numRef>
              <c:f>('Map Template'!$B$58,'Map Template'!$E$58)</c:f>
              <c:numCache>
                <c:formatCode>General</c:formatCode>
                <c:ptCount val="2"/>
                <c:pt idx="0">
                  <c:v>600909.53320765391</c:v>
                </c:pt>
                <c:pt idx="1">
                  <c:v>600954.49163275433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84A-46E2-BBB9-4BA37A2EA26B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2">
                  <a:lumMod val="50000"/>
                </a:schemeClr>
              </a:solidFill>
              <a:prstDash val="lgDashDotDot"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  <a:alpha val="90000"/>
                  </a:schemeClr>
                </a:solidFill>
              </a:ln>
              <a:effectLst/>
            </c:spPr>
          </c:marker>
          <c:xVal>
            <c:numRef>
              <c:f>('Map Template'!$A$59,'Map Template'!$D$59)</c:f>
              <c:numCache>
                <c:formatCode>General</c:formatCode>
                <c:ptCount val="2"/>
                <c:pt idx="0">
                  <c:v>582794.54791625007</c:v>
                </c:pt>
                <c:pt idx="1">
                  <c:v>582796.79762625019</c:v>
                </c:pt>
              </c:numCache>
            </c:numRef>
          </c:xVal>
          <c:yVal>
            <c:numRef>
              <c:f>('Map Template'!$B$59,'Map Template'!$E$59)</c:f>
              <c:numCache>
                <c:formatCode>General</c:formatCode>
                <c:ptCount val="2"/>
                <c:pt idx="0">
                  <c:v>600906.89727648092</c:v>
                </c:pt>
                <c:pt idx="1">
                  <c:v>600951.83935913164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84A-46E2-BBB9-4BA37A2EA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3587824"/>
        <c:axId val="373587432"/>
      </c:scatterChart>
      <c:valAx>
        <c:axId val="37358782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73587432"/>
        <c:crosses val="autoZero"/>
        <c:crossBetween val="midCat"/>
      </c:valAx>
      <c:valAx>
        <c:axId val="37358743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373587824"/>
        <c:crosses val="autoZero"/>
        <c:crossBetween val="midCat"/>
      </c:valAx>
      <c:spPr>
        <a:solidFill>
          <a:schemeClr val="accent6">
            <a:lumMod val="60000"/>
            <a:lumOff val="40000"/>
            <a:alpha val="70000"/>
          </a:schemeClr>
        </a:solidFill>
        <a:ln w="1270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c:spPr>
    </c:plotArea>
    <c:plotVisOnly val="1"/>
    <c:dispBlanksAs val="gap"/>
    <c:showDLblsOverMax val="0"/>
  </c:chart>
  <c:spPr>
    <a:noFill/>
    <a:ln w="127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en-GB">
                <a:solidFill>
                  <a:sysClr val="windowText" lastClr="000000"/>
                </a:solidFill>
              </a:rPr>
              <a:t>%</a:t>
            </a:r>
            <a:r>
              <a:rPr lang="en-GB" baseline="0">
                <a:solidFill>
                  <a:sysClr val="windowText" lastClr="000000"/>
                </a:solidFill>
              </a:rPr>
              <a:t> Error/sample rate</a:t>
            </a:r>
            <a:endParaRPr lang="en-GB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2718379802974224"/>
          <c:y val="9.9310350220491464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3532649549955239"/>
          <c:y val="4.7024330547071974E-2"/>
          <c:w val="0.81300910734394349"/>
          <c:h val="0.75262876745201013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noFill/>
            </a:ln>
            <a:effectLst/>
          </c:spPr>
          <c:marker>
            <c:symbol val="circle"/>
            <c:size val="8"/>
            <c:spPr>
              <a:noFill/>
              <a:ln>
                <a:noFill/>
              </a:ln>
              <a:effectLst/>
            </c:spPr>
          </c:marker>
          <c:trendline>
            <c:spPr>
              <a:ln w="38100">
                <a:prstDash val="dash"/>
              </a:ln>
            </c:spPr>
            <c:trendlineType val="power"/>
            <c:dispRSqr val="0"/>
            <c:dispEq val="0"/>
          </c:trendline>
          <c:xVal>
            <c:numLit>
              <c:formatCode>General</c:formatCode>
              <c:ptCount val="12"/>
              <c:pt idx="0">
                <c:v>280</c:v>
              </c:pt>
              <c:pt idx="1">
                <c:v>240</c:v>
              </c:pt>
              <c:pt idx="2">
                <c:v>200</c:v>
              </c:pt>
              <c:pt idx="3">
                <c:v>160</c:v>
              </c:pt>
              <c:pt idx="4">
                <c:v>120</c:v>
              </c:pt>
              <c:pt idx="5">
                <c:v>80</c:v>
              </c:pt>
              <c:pt idx="6">
                <c:v>40</c:v>
              </c:pt>
              <c:pt idx="7">
                <c:v>32</c:v>
              </c:pt>
              <c:pt idx="8">
                <c:v>24</c:v>
              </c:pt>
              <c:pt idx="9">
                <c:v>16</c:v>
              </c:pt>
              <c:pt idx="10">
                <c:v>8</c:v>
              </c:pt>
              <c:pt idx="11">
                <c:v>1</c:v>
              </c:pt>
            </c:numLit>
          </c:xVal>
          <c:yVal>
            <c:numLit>
              <c:formatCode>General</c:formatCode>
              <c:ptCount val="12"/>
              <c:pt idx="0">
                <c:v>1.2714153321888246</c:v>
              </c:pt>
              <c:pt idx="1">
                <c:v>1.9376891782082282</c:v>
              </c:pt>
              <c:pt idx="2">
                <c:v>0.97823753158807703</c:v>
              </c:pt>
              <c:pt idx="3">
                <c:v>1.3663961920717718</c:v>
              </c:pt>
              <c:pt idx="4">
                <c:v>2.2805739109817886</c:v>
              </c:pt>
              <c:pt idx="5">
                <c:v>2.1856906818027246</c:v>
              </c:pt>
              <c:pt idx="6">
                <c:v>3.2417875138094345</c:v>
              </c:pt>
              <c:pt idx="7">
                <c:v>4.3064310119674269</c:v>
              </c:pt>
              <c:pt idx="8">
                <c:v>3.7349587515347622</c:v>
              </c:pt>
              <c:pt idx="9">
                <c:v>3.9870903662760426</c:v>
              </c:pt>
              <c:pt idx="10">
                <c:v>5.7330635628203561</c:v>
              </c:pt>
              <c:pt idx="11">
                <c:v>24.540154266962208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F76D-4CEB-BEB3-93B9219D3B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3586648"/>
        <c:axId val="378105832"/>
      </c:scatterChart>
      <c:valAx>
        <c:axId val="373586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E" sz="1000" b="1">
                    <a:solidFill>
                      <a:schemeClr val="tx1"/>
                    </a:solidFill>
                  </a:rPr>
                  <a:t>Sample</a:t>
                </a:r>
                <a:r>
                  <a:rPr lang="en-IE" sz="1000" b="1" baseline="0">
                    <a:solidFill>
                      <a:schemeClr val="tx1"/>
                    </a:solidFill>
                  </a:rPr>
                  <a:t> rate/ha</a:t>
                </a:r>
                <a:endParaRPr lang="en-IE" sz="1000" b="1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out"/>
        <c:minorTickMark val="none"/>
        <c:tickLblPos val="nextTo"/>
        <c:txPr>
          <a:bodyPr/>
          <a:lstStyle/>
          <a:p>
            <a:pPr algn="ctr">
              <a:defRPr lang="en-IE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105832"/>
        <c:crosses val="autoZero"/>
        <c:crossBetween val="midCat"/>
        <c:majorUnit val="25"/>
        <c:minorUnit val="10"/>
      </c:valAx>
      <c:valAx>
        <c:axId val="37810583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en-IE"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E"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rPr>
                  <a:t>% Error Height (mm)</a:t>
                </a:r>
              </a:p>
            </c:rich>
          </c:tx>
          <c:layout>
            <c:manualLayout>
              <c:xMode val="edge"/>
              <c:yMode val="edge"/>
              <c:x val="1.5789480227716628E-2"/>
              <c:y val="0.26804748858681893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IE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586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8030357440025226E-3"/>
          <c:y val="0"/>
          <c:w val="0.99314969200006387"/>
          <c:h val="1"/>
        </c:manualLayout>
      </c:layout>
      <c:scatterChart>
        <c:scatterStyle val="lineMarker"/>
        <c:varyColors val="0"/>
        <c:ser>
          <c:idx val="0"/>
          <c:order val="0"/>
          <c:tx>
            <c:strRef>
              <c:f>'Map Template'!$C$41</c:f>
              <c:strCache>
                <c:ptCount val="1"/>
                <c:pt idx="0">
                  <c:v>ycoord</c:v>
                </c:pt>
              </c:strCache>
            </c:strRef>
          </c:tx>
          <c:spPr>
            <a:ln w="1905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'Map Template'!$B$42:$B$46</c:f>
              <c:numCache>
                <c:formatCode>General</c:formatCode>
                <c:ptCount val="5"/>
                <c:pt idx="0">
                  <c:v>582642.91358000005</c:v>
                </c:pt>
                <c:pt idx="1">
                  <c:v>582845.05923999997</c:v>
                </c:pt>
                <c:pt idx="2">
                  <c:v>582847.37586000003</c:v>
                </c:pt>
                <c:pt idx="3">
                  <c:v>582645.16329000005</c:v>
                </c:pt>
                <c:pt idx="4">
                  <c:v>582642.91358000005</c:v>
                </c:pt>
              </c:numCache>
            </c:numRef>
          </c:xVal>
          <c:yVal>
            <c:numRef>
              <c:f>'Map Template'!$C$42:$C$46</c:f>
              <c:numCache>
                <c:formatCode>General</c:formatCode>
                <c:ptCount val="5"/>
                <c:pt idx="0">
                  <c:v>600914.80507</c:v>
                </c:pt>
                <c:pt idx="1">
                  <c:v>600904.26309000002</c:v>
                </c:pt>
                <c:pt idx="2">
                  <c:v>600949.18533000001</c:v>
                </c:pt>
                <c:pt idx="3">
                  <c:v>600959.79617999995</c:v>
                </c:pt>
                <c:pt idx="4">
                  <c:v>600914.80507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59-4ED6-95E4-36A111DE2B4C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>
                  <a:lumMod val="50000"/>
                  <a:alpha val="9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pPr>
                <a:solidFill>
                  <a:schemeClr val="accent2">
                    <a:lumMod val="50000"/>
                  </a:schemeClr>
                </a:solidFill>
                <a:ln w="9525">
                  <a:solidFill>
                    <a:schemeClr val="accent2">
                      <a:lumMod val="50000"/>
                    </a:schemeClr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3E59-4ED6-95E4-36A111DE2B4C}"/>
              </c:ext>
            </c:extLst>
          </c:dPt>
          <c:dPt>
            <c:idx val="1"/>
            <c:marker>
              <c:spPr>
                <a:solidFill>
                  <a:schemeClr val="accent2">
                    <a:lumMod val="50000"/>
                  </a:schemeClr>
                </a:solidFill>
                <a:ln w="9525">
                  <a:solidFill>
                    <a:schemeClr val="accent2">
                      <a:lumMod val="50000"/>
                    </a:schemeClr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chemeClr val="accent2">
                    <a:lumMod val="50000"/>
                    <a:alpha val="90000"/>
                  </a:schemeClr>
                </a:solidFill>
                <a:prstDash val="lgDashDotDot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3E59-4ED6-95E4-36A111DE2B4C}"/>
              </c:ext>
            </c:extLst>
          </c:dPt>
          <c:xVal>
            <c:numRef>
              <c:f>('Map Template'!$A$57,'Map Template'!$D$57)</c:f>
              <c:numCache>
                <c:formatCode>General</c:formatCode>
                <c:ptCount val="2"/>
                <c:pt idx="0">
                  <c:v>582693.45835874998</c:v>
                </c:pt>
                <c:pt idx="1">
                  <c:v>582695.7080687501</c:v>
                </c:pt>
              </c:numCache>
            </c:numRef>
          </c:xVal>
          <c:yVal>
            <c:numRef>
              <c:f>('Map Template'!$B$57,'Map Template'!$E$57)</c:f>
              <c:numCache>
                <c:formatCode>General</c:formatCode>
                <c:ptCount val="2"/>
                <c:pt idx="0">
                  <c:v>600912.16913882701</c:v>
                </c:pt>
                <c:pt idx="1">
                  <c:v>600957.14390637714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E59-4ED6-95E4-36A111DE2B4C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chemeClr val="accent2">
                  <a:lumMod val="50000"/>
                  <a:alpha val="90000"/>
                </a:schemeClr>
              </a:solidFill>
              <a:prstDash val="lgDashDotDot"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  <a:alpha val="88000"/>
                  </a:schemeClr>
                </a:solidFill>
              </a:ln>
              <a:effectLst/>
            </c:spPr>
          </c:marker>
          <c:xVal>
            <c:numRef>
              <c:f>('Map Template'!$A$58,'Map Template'!$D$58)</c:f>
              <c:numCache>
                <c:formatCode>General</c:formatCode>
                <c:ptCount val="2"/>
                <c:pt idx="0">
                  <c:v>582744.00313750003</c:v>
                </c:pt>
                <c:pt idx="1">
                  <c:v>582746.25284750015</c:v>
                </c:pt>
              </c:numCache>
            </c:numRef>
          </c:xVal>
          <c:yVal>
            <c:numRef>
              <c:f>('Map Template'!$B$58,'Map Template'!$E$58)</c:f>
              <c:numCache>
                <c:formatCode>General</c:formatCode>
                <c:ptCount val="2"/>
                <c:pt idx="0">
                  <c:v>600909.53320765391</c:v>
                </c:pt>
                <c:pt idx="1">
                  <c:v>600954.49163275433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E59-4ED6-95E4-36A111DE2B4C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2">
                  <a:lumMod val="50000"/>
                </a:schemeClr>
              </a:solidFill>
              <a:prstDash val="lgDashDotDot"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  <a:alpha val="90000"/>
                  </a:schemeClr>
                </a:solidFill>
              </a:ln>
              <a:effectLst/>
            </c:spPr>
          </c:marker>
          <c:xVal>
            <c:numRef>
              <c:f>('Map Template'!$A$59,'Map Template'!$D$59)</c:f>
              <c:numCache>
                <c:formatCode>General</c:formatCode>
                <c:ptCount val="2"/>
                <c:pt idx="0">
                  <c:v>582794.54791625007</c:v>
                </c:pt>
                <c:pt idx="1">
                  <c:v>582796.79762625019</c:v>
                </c:pt>
              </c:numCache>
            </c:numRef>
          </c:xVal>
          <c:yVal>
            <c:numRef>
              <c:f>('Map Template'!$B$59,'Map Template'!$E$59)</c:f>
              <c:numCache>
                <c:formatCode>General</c:formatCode>
                <c:ptCount val="2"/>
                <c:pt idx="0">
                  <c:v>600906.89727648092</c:v>
                </c:pt>
                <c:pt idx="1">
                  <c:v>600951.83935913164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E59-4ED6-95E4-36A111DE2B4C}"/>
            </c:ext>
          </c:extLst>
        </c:ser>
        <c:ser>
          <c:idx val="4"/>
          <c:order val="4"/>
          <c:tx>
            <c:v>protocol</c:v>
          </c:tx>
          <c:spPr>
            <a:ln>
              <a:solidFill>
                <a:srgbClr val="5B9BD5">
                  <a:lumMod val="75000"/>
                </a:srgbClr>
              </a:solidFill>
              <a:prstDash val="sysDash"/>
            </a:ln>
          </c:spPr>
          <c:marker>
            <c:symbol val="circle"/>
            <c:size val="10"/>
            <c:spPr>
              <a:noFill/>
              <a:ln w="28575">
                <a:solidFill>
                  <a:srgbClr val="4472C4">
                    <a:shade val="95000"/>
                    <a:satMod val="105000"/>
                  </a:srgbClr>
                </a:solidFill>
                <a:prstDash val="sysDash"/>
              </a:ln>
            </c:spPr>
          </c:marker>
          <c:dPt>
            <c:idx val="14"/>
            <c:marker>
              <c:spPr>
                <a:noFill/>
                <a:ln w="28575">
                  <a:solidFill>
                    <a:srgbClr val="0070C0"/>
                  </a:solidFill>
                  <a:prstDash val="sysDash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3E59-4ED6-95E4-36A111DE2B4C}"/>
              </c:ext>
            </c:extLst>
          </c:dPt>
          <c:xVal>
            <c:numRef>
              <c:f>'Protocol details'!$B$31:$B$48</c:f>
              <c:numCache>
                <c:formatCode>General</c:formatCode>
                <c:ptCount val="18"/>
                <c:pt idx="0" formatCode="0">
                  <c:v>582642.91358000005</c:v>
                </c:pt>
                <c:pt idx="1">
                  <c:v>582683</c:v>
                </c:pt>
                <c:pt idx="2">
                  <c:v>582677</c:v>
                </c:pt>
                <c:pt idx="3">
                  <c:v>582646</c:v>
                </c:pt>
                <c:pt idx="4">
                  <c:v>582687</c:v>
                </c:pt>
                <c:pt idx="5">
                  <c:v>582700</c:v>
                </c:pt>
                <c:pt idx="6">
                  <c:v>582707</c:v>
                </c:pt>
                <c:pt idx="7">
                  <c:v>582731</c:v>
                </c:pt>
                <c:pt idx="8">
                  <c:v>582729</c:v>
                </c:pt>
                <c:pt idx="9">
                  <c:v>582786</c:v>
                </c:pt>
                <c:pt idx="10">
                  <c:v>582766</c:v>
                </c:pt>
                <c:pt idx="11">
                  <c:v>582776</c:v>
                </c:pt>
                <c:pt idx="12">
                  <c:v>582755</c:v>
                </c:pt>
                <c:pt idx="13">
                  <c:v>582820</c:v>
                </c:pt>
                <c:pt idx="14">
                  <c:v>582824</c:v>
                </c:pt>
                <c:pt idx="15">
                  <c:v>582813</c:v>
                </c:pt>
                <c:pt idx="16">
                  <c:v>582840</c:v>
                </c:pt>
                <c:pt idx="17" formatCode="0">
                  <c:v>582845.05923999997</c:v>
                </c:pt>
              </c:numCache>
            </c:numRef>
          </c:xVal>
          <c:yVal>
            <c:numRef>
              <c:f>'Protocol details'!$C$31:$C$48</c:f>
              <c:numCache>
                <c:formatCode>General</c:formatCode>
                <c:ptCount val="18"/>
                <c:pt idx="0" formatCode="0">
                  <c:v>600914.80507</c:v>
                </c:pt>
                <c:pt idx="1">
                  <c:v>600926</c:v>
                </c:pt>
                <c:pt idx="2">
                  <c:v>600948</c:v>
                </c:pt>
                <c:pt idx="3">
                  <c:v>600955</c:v>
                </c:pt>
                <c:pt idx="4">
                  <c:v>600956</c:v>
                </c:pt>
                <c:pt idx="5">
                  <c:v>600922</c:v>
                </c:pt>
                <c:pt idx="6">
                  <c:v>600944</c:v>
                </c:pt>
                <c:pt idx="7">
                  <c:v>600917</c:v>
                </c:pt>
                <c:pt idx="8">
                  <c:v>600951</c:v>
                </c:pt>
                <c:pt idx="9">
                  <c:v>600936</c:v>
                </c:pt>
                <c:pt idx="10">
                  <c:v>600916</c:v>
                </c:pt>
                <c:pt idx="11">
                  <c:v>600941</c:v>
                </c:pt>
                <c:pt idx="12">
                  <c:v>600932</c:v>
                </c:pt>
                <c:pt idx="13">
                  <c:v>600920</c:v>
                </c:pt>
                <c:pt idx="14">
                  <c:v>600914</c:v>
                </c:pt>
                <c:pt idx="15">
                  <c:v>600940</c:v>
                </c:pt>
                <c:pt idx="16">
                  <c:v>600941</c:v>
                </c:pt>
                <c:pt idx="17" formatCode="0">
                  <c:v>600904.26309000002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E59-4ED6-95E4-36A111DE2B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8104656"/>
        <c:axId val="378105048"/>
      </c:scatterChart>
      <c:valAx>
        <c:axId val="37810465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78105048"/>
        <c:crosses val="autoZero"/>
        <c:crossBetween val="midCat"/>
      </c:valAx>
      <c:valAx>
        <c:axId val="3781050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378104656"/>
        <c:crosses val="autoZero"/>
        <c:crossBetween val="midCat"/>
      </c:valAx>
      <c:spPr>
        <a:solidFill>
          <a:schemeClr val="accent6">
            <a:lumMod val="60000"/>
            <a:lumOff val="40000"/>
            <a:alpha val="70000"/>
          </a:schemeClr>
        </a:solidFill>
        <a:ln w="12700" cap="flat" cmpd="sng" algn="ctr">
          <a:noFill/>
          <a:prstDash val="solid"/>
          <a:round/>
          <a:headEnd type="none" w="med" len="med"/>
          <a:tailEnd type="none" w="med" len="med"/>
        </a:ln>
        <a:effectLst/>
      </c:spPr>
    </c:plotArea>
    <c:plotVisOnly val="1"/>
    <c:dispBlanksAs val="gap"/>
    <c:showDLblsOverMax val="0"/>
  </c:chart>
  <c:spPr>
    <a:noFill/>
    <a:ln w="0" cap="flat" cmpd="sng" algn="ctr">
      <a:solidFill>
        <a:schemeClr val="accent4">
          <a:lumMod val="20000"/>
          <a:lumOff val="8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109619772104759"/>
          <c:y val="0.14609640436049789"/>
          <c:w val="0.66458186370771455"/>
          <c:h val="0.736627457610743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'Protocol details'!$A$23</c:f>
              <c:strCache>
                <c:ptCount val="1"/>
                <c:pt idx="0">
                  <c:v>Distance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'Protocol details'!$B$22:$D$22</c:f>
              <c:strCache>
                <c:ptCount val="3"/>
                <c:pt idx="0">
                  <c:v>Default</c:v>
                </c:pt>
                <c:pt idx="1">
                  <c:v>Ordered</c:v>
                </c:pt>
                <c:pt idx="2">
                  <c:v>Optimised</c:v>
                </c:pt>
              </c:strCache>
            </c:strRef>
          </c:cat>
          <c:val>
            <c:numRef>
              <c:f>'Protocol details'!$B$23:$D$23</c:f>
              <c:numCache>
                <c:formatCode>0</c:formatCode>
                <c:ptCount val="3"/>
                <c:pt idx="0">
                  <c:v>405.53307314607559</c:v>
                </c:pt>
                <c:pt idx="1">
                  <c:v>380.61339821507727</c:v>
                </c:pt>
                <c:pt idx="2">
                  <c:v>344.7788878009103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BB-4B35-B891-6EA87F189F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8102304"/>
        <c:axId val="378102696"/>
      </c:barChart>
      <c:lineChart>
        <c:grouping val="standard"/>
        <c:varyColors val="0"/>
        <c:ser>
          <c:idx val="1"/>
          <c:order val="1"/>
          <c:tx>
            <c:strRef>
              <c:f>'Protocol details'!$A$24</c:f>
              <c:strCache>
                <c:ptCount val="1"/>
                <c:pt idx="0">
                  <c:v>Time 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'Protocol details'!$B$22:$D$22</c:f>
              <c:strCache>
                <c:ptCount val="3"/>
                <c:pt idx="0">
                  <c:v>Default</c:v>
                </c:pt>
                <c:pt idx="1">
                  <c:v>Ordered</c:v>
                </c:pt>
                <c:pt idx="2">
                  <c:v>Optimised</c:v>
                </c:pt>
              </c:strCache>
            </c:strRef>
          </c:cat>
          <c:val>
            <c:numRef>
              <c:f>'Protocol details'!$B$24:$D$24</c:f>
              <c:numCache>
                <c:formatCode>0.00</c:formatCode>
                <c:ptCount val="3"/>
                <c:pt idx="0">
                  <c:v>3.3794422762172966</c:v>
                </c:pt>
                <c:pt idx="1">
                  <c:v>3.1717783184589772</c:v>
                </c:pt>
                <c:pt idx="2">
                  <c:v>2.8731573983409193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BB-4B35-B891-6EA87F189F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8103480"/>
        <c:axId val="378103088"/>
      </c:lineChart>
      <c:catAx>
        <c:axId val="378102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102696"/>
        <c:crosses val="autoZero"/>
        <c:auto val="1"/>
        <c:lblAlgn val="ctr"/>
        <c:lblOffset val="100"/>
        <c:noMultiLvlLbl val="0"/>
      </c:catAx>
      <c:valAx>
        <c:axId val="378102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ysClr val="windowText" lastClr="000000"/>
                    </a:solidFill>
                  </a:rPr>
                  <a:t>Distance (m/ha)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102304"/>
        <c:crosses val="autoZero"/>
        <c:crossBetween val="between"/>
      </c:valAx>
      <c:valAx>
        <c:axId val="37810308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0">
                    <a:solidFill>
                      <a:sysClr val="windowText" lastClr="000000"/>
                    </a:solidFill>
                  </a:rPr>
                  <a:t>Time (mins/ha)</a:t>
                </a:r>
              </a:p>
            </c:rich>
          </c:tx>
          <c:layout>
            <c:manualLayout>
              <c:xMode val="edge"/>
              <c:yMode val="edge"/>
              <c:x val="0.93876744884501373"/>
              <c:y val="0.32617307477522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103480"/>
        <c:crosses val="max"/>
        <c:crossBetween val="between"/>
      </c:valAx>
      <c:catAx>
        <c:axId val="3781034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781030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6756334544720372"/>
          <c:y val="1.228322303270373E-2"/>
          <c:w val="0.6913986472844742"/>
          <c:h val="8.1890971450654562E-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651153635113223"/>
          <c:y val="0.14063067998956336"/>
          <c:w val="0.69473532961664464"/>
          <c:h val="0.7563566785956050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'Protocol details'!$A$25</c:f>
              <c:strCache>
                <c:ptCount val="1"/>
                <c:pt idx="0">
                  <c:v>Labour 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'Protocol details'!$B$22:$D$22</c:f>
              <c:strCache>
                <c:ptCount val="3"/>
                <c:pt idx="0">
                  <c:v>Default</c:v>
                </c:pt>
                <c:pt idx="1">
                  <c:v>Ordered</c:v>
                </c:pt>
                <c:pt idx="2">
                  <c:v>Optimised</c:v>
                </c:pt>
              </c:strCache>
            </c:strRef>
          </c:cat>
          <c:val>
            <c:numRef>
              <c:f>'Protocol details'!$B$25:$D$25</c:f>
              <c:numCache>
                <c:formatCode>0.00</c:formatCode>
                <c:ptCount val="3"/>
                <c:pt idx="0">
                  <c:v>0.84486056905432416</c:v>
                </c:pt>
                <c:pt idx="1">
                  <c:v>0.79294457961474429</c:v>
                </c:pt>
                <c:pt idx="2">
                  <c:v>0.71828934958522983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25-4872-8746-1AE36172834C}"/>
            </c:ext>
          </c:extLst>
        </c:ser>
        <c:ser>
          <c:idx val="1"/>
          <c:order val="1"/>
          <c:tx>
            <c:strRef>
              <c:f>'Protocol details'!$A$26</c:f>
              <c:strCache>
                <c:ptCount val="1"/>
                <c:pt idx="0">
                  <c:v>Error cost </c:v>
                </c:pt>
              </c:strCache>
            </c:strRef>
          </c:tx>
          <c:spPr>
            <a:solidFill>
              <a:schemeClr val="bg2"/>
            </a:solidFill>
            <a:ln>
              <a:noFill/>
            </a:ln>
            <a:effectLst/>
          </c:spPr>
          <c:invertIfNegative val="0"/>
          <c:cat>
            <c:strRef>
              <c:f>'Protocol details'!$B$22:$D$22</c:f>
              <c:strCache>
                <c:ptCount val="3"/>
                <c:pt idx="0">
                  <c:v>Default</c:v>
                </c:pt>
                <c:pt idx="1">
                  <c:v>Ordered</c:v>
                </c:pt>
                <c:pt idx="2">
                  <c:v>Optimised</c:v>
                </c:pt>
              </c:strCache>
            </c:strRef>
          </c:cat>
          <c:val>
            <c:numRef>
              <c:f>'Protocol details'!$B$26:$D$26</c:f>
              <c:numCache>
                <c:formatCode>0.00</c:formatCode>
                <c:ptCount val="3"/>
                <c:pt idx="0">
                  <c:v>1.3287038766664463</c:v>
                </c:pt>
                <c:pt idx="1">
                  <c:v>1.3287038766664463</c:v>
                </c:pt>
                <c:pt idx="2">
                  <c:v>1.3287038766664463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25-4872-8746-1AE36172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5954984"/>
        <c:axId val="575955376"/>
      </c:barChart>
      <c:lineChart>
        <c:grouping val="standard"/>
        <c:varyColors val="0"/>
        <c:ser>
          <c:idx val="2"/>
          <c:order val="2"/>
          <c:tx>
            <c:strRef>
              <c:f>'Protocol details'!$A$27</c:f>
              <c:strCache>
                <c:ptCount val="1"/>
                <c:pt idx="0">
                  <c:v>Protocol value</c:v>
                </c:pt>
              </c:strCache>
            </c:strRef>
          </c:tx>
          <c:spPr>
            <a:ln w="34925" cap="rnd">
              <a:solidFill>
                <a:srgbClr val="009900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'Protocol details'!$B$27:$D$27</c:f>
              <c:numCache>
                <c:formatCode>0.00</c:formatCode>
                <c:ptCount val="3"/>
                <c:pt idx="0">
                  <c:v>215.50744204167921</c:v>
                </c:pt>
                <c:pt idx="1">
                  <c:v>215.55935803111879</c:v>
                </c:pt>
                <c:pt idx="2">
                  <c:v>215.63401326114831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725-4872-8746-1AE36172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5956552"/>
        <c:axId val="575955768"/>
      </c:lineChart>
      <c:catAx>
        <c:axId val="575954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955376"/>
        <c:crosses val="autoZero"/>
        <c:auto val="1"/>
        <c:lblAlgn val="ctr"/>
        <c:lblOffset val="100"/>
        <c:noMultiLvlLbl val="0"/>
      </c:catAx>
      <c:valAx>
        <c:axId val="575955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ysClr val="windowText" lastClr="000000"/>
                    </a:solidFill>
                  </a:rPr>
                  <a:t>Cost (€)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954984"/>
        <c:crosses val="autoZero"/>
        <c:crossBetween val="between"/>
      </c:valAx>
      <c:valAx>
        <c:axId val="57595576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ysClr val="windowText" lastClr="000000"/>
                    </a:solidFill>
                  </a:rPr>
                  <a:t>Value (€)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956552"/>
        <c:crosses val="max"/>
        <c:crossBetween val="between"/>
      </c:valAx>
      <c:catAx>
        <c:axId val="575956552"/>
        <c:scaling>
          <c:orientation val="minMax"/>
        </c:scaling>
        <c:delete val="1"/>
        <c:axPos val="b"/>
        <c:majorTickMark val="out"/>
        <c:minorTickMark val="none"/>
        <c:tickLblPos val="nextTo"/>
        <c:crossAx val="5759557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912672147161372"/>
          <c:y val="1.4706300828078602E-2"/>
          <c:w val="0.76587666180295322"/>
          <c:h val="8.5895570154221168E-2"/>
        </c:manualLayout>
      </c:layout>
      <c:overlay val="0"/>
      <c:spPr>
        <a:noFill/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'Error Details'!$O$8</c:f>
              <c:strCache>
                <c:ptCount val="1"/>
                <c:pt idx="0">
                  <c:v>Mean Error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'Error Details'!$N$9:$N$13</c:f>
              <c:numCache>
                <c:formatCode>General</c:formatCode>
                <c:ptCount val="5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24</c:v>
                </c:pt>
                <c:pt idx="4">
                  <c:v>32</c:v>
                </c:pt>
              </c:numCache>
            </c:numRef>
          </c:xVal>
          <c:yVal>
            <c:numRef>
              <c:f>'Error Details'!$O$9:$O$13</c:f>
              <c:numCache>
                <c:formatCode>General</c:formatCode>
                <c:ptCount val="5"/>
                <c:pt idx="2">
                  <c:v>1.0691252525174319E-3</c:v>
                </c:pt>
                <c:pt idx="3">
                  <c:v>-9.8800000000000003E-5</c:v>
                </c:pt>
                <c:pt idx="4">
                  <c:v>3.1237779999999998E-3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643-BFEC-812BA57144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953024"/>
        <c:axId val="670551592"/>
      </c:scatterChart>
      <c:valAx>
        <c:axId val="575953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E"/>
                  <a:t>Sample</a:t>
                </a:r>
                <a:r>
                  <a:rPr lang="en-IE" baseline="0"/>
                  <a:t> Rate</a:t>
                </a:r>
                <a:endParaRPr lang="en-I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551592"/>
        <c:crosses val="autoZero"/>
        <c:crossBetween val="midCat"/>
      </c:valAx>
      <c:valAx>
        <c:axId val="670551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953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'Error Details'!$P$8</c:f>
              <c:strCache>
                <c:ptCount val="1"/>
                <c:pt idx="0">
                  <c:v>SD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'Error Details'!$N$9:$N$13</c:f>
              <c:numCache>
                <c:formatCode>General</c:formatCode>
                <c:ptCount val="5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24</c:v>
                </c:pt>
                <c:pt idx="4">
                  <c:v>32</c:v>
                </c:pt>
              </c:numCache>
            </c:numRef>
          </c:xVal>
          <c:yVal>
            <c:numRef>
              <c:f>'Error Details'!$P$9:$P$13</c:f>
              <c:numCache>
                <c:formatCode>General</c:formatCode>
                <c:ptCount val="5"/>
                <c:pt idx="2">
                  <c:v>6.9413721749698093E-2</c:v>
                </c:pt>
                <c:pt idx="3">
                  <c:v>5.6156443E-2</c:v>
                </c:pt>
                <c:pt idx="4">
                  <c:v>4.9081095999999998E-2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6F-49DB-BBBB-0F0C405069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0554336"/>
        <c:axId val="670553944"/>
      </c:scatterChart>
      <c:valAx>
        <c:axId val="670554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E"/>
                  <a:t>Sample</a:t>
                </a:r>
                <a:r>
                  <a:rPr lang="en-IE" baseline="0"/>
                  <a:t> Rate</a:t>
                </a:r>
                <a:endParaRPr lang="en-I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553944"/>
        <c:crosses val="autoZero"/>
        <c:crossBetween val="midCat"/>
      </c:valAx>
      <c:valAx>
        <c:axId val="670553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554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523038786818314E-2"/>
          <c:y val="1.4393395401046567E-2"/>
          <c:w val="0.88940288713910765"/>
          <c:h val="0.91038189801746483"/>
        </c:manualLayout>
      </c:layout>
      <c:scatterChart>
        <c:scatterStyle val="lineMarker"/>
        <c:varyColors val="0"/>
        <c:ser>
          <c:idx val="0"/>
          <c:order val="0"/>
          <c:tx>
            <c:strRef>
              <c:f>'Map Template'!$C$41</c:f>
              <c:strCache>
                <c:ptCount val="1"/>
                <c:pt idx="0">
                  <c:v>ycoord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19050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dLbl>
              <c:idx val="0"/>
              <c:layout>
                <c:manualLayout>
                  <c:x val="-3.4722222222222224E-2"/>
                  <c:y val="4.1928721174004195E-2"/>
                </c:manualLayout>
              </c:layout>
              <c:tx>
                <c:rich>
                  <a:bodyPr/>
                  <a:lstStyle/>
                  <a:p>
                    <a:r>
                      <a:rPr lang="en-US" sz="1200"/>
                      <a:t>A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6CF-4308-9954-52E3B3A8119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 sz="1200" b="1"/>
                      <a:t>D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6CF-4308-9954-52E3B3A8119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 sz="1200" b="1"/>
                      <a:t>C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6CF-4308-9954-52E3B3A8119D}"/>
                </c:ext>
              </c:extLst>
            </c:dLbl>
            <c:dLbl>
              <c:idx val="3"/>
              <c:layout>
                <c:manualLayout>
                  <c:x val="6.8799449604403165E-3"/>
                  <c:y val="-2.683843263553411E-2"/>
                </c:manualLayout>
              </c:layout>
              <c:tx>
                <c:rich>
                  <a:bodyPr/>
                  <a:lstStyle/>
                  <a:p>
                    <a:r>
                      <a:rPr lang="en-US" sz="1200" b="1"/>
                      <a:t>B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6CF-4308-9954-52E3B3A8119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6CF-4308-9954-52E3B3A8119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'Map Template'!$B$42:$B$46</c:f>
              <c:numCache>
                <c:formatCode>General</c:formatCode>
                <c:ptCount val="5"/>
                <c:pt idx="0">
                  <c:v>582642.91358000005</c:v>
                </c:pt>
                <c:pt idx="1">
                  <c:v>582845.05923999997</c:v>
                </c:pt>
                <c:pt idx="2">
                  <c:v>582847.37586000003</c:v>
                </c:pt>
                <c:pt idx="3">
                  <c:v>582645.16329000005</c:v>
                </c:pt>
                <c:pt idx="4">
                  <c:v>582642.91358000005</c:v>
                </c:pt>
              </c:numCache>
            </c:numRef>
          </c:xVal>
          <c:yVal>
            <c:numRef>
              <c:f>'Map Template'!$C$42:$C$46</c:f>
              <c:numCache>
                <c:formatCode>General</c:formatCode>
                <c:ptCount val="5"/>
                <c:pt idx="0">
                  <c:v>600914.80507</c:v>
                </c:pt>
                <c:pt idx="1">
                  <c:v>600904.26309000002</c:v>
                </c:pt>
                <c:pt idx="2">
                  <c:v>600949.18533000001</c:v>
                </c:pt>
                <c:pt idx="3">
                  <c:v>600959.79617999995</c:v>
                </c:pt>
                <c:pt idx="4">
                  <c:v>600914.80507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6CF-4308-9954-52E3B3A8119D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2.976190476190476E-2"/>
                  <c:y val="3.406708595387840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6CF-4308-9954-52E3B3A8119D}"/>
                </c:ext>
              </c:extLst>
            </c:dLbl>
            <c:dLbl>
              <c:idx val="1"/>
              <c:layout>
                <c:manualLayout>
                  <c:x val="-1.488095238095238E-2"/>
                  <c:y val="-3.406708595387843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BC1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6CF-4308-9954-52E3B3A8119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('Map Template'!$A$57,'Map Template'!$D$57)</c:f>
              <c:numCache>
                <c:formatCode>General</c:formatCode>
                <c:ptCount val="2"/>
                <c:pt idx="0">
                  <c:v>582693.45835874998</c:v>
                </c:pt>
                <c:pt idx="1">
                  <c:v>582695.7080687501</c:v>
                </c:pt>
              </c:numCache>
            </c:numRef>
          </c:xVal>
          <c:yVal>
            <c:numRef>
              <c:f>('Map Template'!$B$57,'Map Template'!$E$57)</c:f>
              <c:numCache>
                <c:formatCode>General</c:formatCode>
                <c:ptCount val="2"/>
                <c:pt idx="0">
                  <c:v>600912.16913882701</c:v>
                </c:pt>
                <c:pt idx="1">
                  <c:v>600957.14390637714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6CF-4308-9954-52E3B3A8119D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13359788359789E-2"/>
                  <c:y val="3.406708595387831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6CF-4308-9954-52E3B3A8119D}"/>
                </c:ext>
              </c:extLst>
            </c:dLbl>
            <c:dLbl>
              <c:idx val="1"/>
              <c:layout>
                <c:manualLayout>
                  <c:x val="-9.9206349206349201E-3"/>
                  <c:y val="-3.406708595387843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BC2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6CF-4308-9954-52E3B3A8119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('Map Template'!$A$58,'Map Template'!$D$58)</c:f>
              <c:numCache>
                <c:formatCode>General</c:formatCode>
                <c:ptCount val="2"/>
                <c:pt idx="0">
                  <c:v>582744.00313750003</c:v>
                </c:pt>
                <c:pt idx="1">
                  <c:v>582746.25284750015</c:v>
                </c:pt>
              </c:numCache>
            </c:numRef>
          </c:xVal>
          <c:yVal>
            <c:numRef>
              <c:f>('Map Template'!$B$58,'Map Template'!$E$58)</c:f>
              <c:numCache>
                <c:formatCode>General</c:formatCode>
                <c:ptCount val="2"/>
                <c:pt idx="0">
                  <c:v>600909.53320765391</c:v>
                </c:pt>
                <c:pt idx="1">
                  <c:v>600954.49163275433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06CF-4308-9954-52E3B3A8119D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1.488095238095238E-2"/>
                  <c:y val="3.406708595387840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6CF-4308-9954-52E3B3A8119D}"/>
                </c:ext>
              </c:extLst>
            </c:dLbl>
            <c:dLbl>
              <c:idx val="1"/>
              <c:layout>
                <c:manualLayout>
                  <c:x val="1.6534391534391533E-3"/>
                  <c:y val="-2.620545073375264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BC3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06CF-4308-9954-52E3B3A8119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('Map Template'!$A$59,'Map Template'!$D$59)</c:f>
              <c:numCache>
                <c:formatCode>General</c:formatCode>
                <c:ptCount val="2"/>
                <c:pt idx="0">
                  <c:v>582794.54791625007</c:v>
                </c:pt>
                <c:pt idx="1">
                  <c:v>582796.79762625019</c:v>
                </c:pt>
              </c:numCache>
            </c:numRef>
          </c:xVal>
          <c:yVal>
            <c:numRef>
              <c:f>('Map Template'!$B$59,'Map Template'!$E$59)</c:f>
              <c:numCache>
                <c:formatCode>General</c:formatCode>
                <c:ptCount val="2"/>
                <c:pt idx="0">
                  <c:v>600906.89727648092</c:v>
                </c:pt>
                <c:pt idx="1">
                  <c:v>600951.83935913164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06CF-4308-9954-52E3B3A8119D}"/>
            </c:ext>
          </c:extLst>
        </c:ser>
        <c:ser>
          <c:idx val="6"/>
          <c:order val="4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F-06CF-4308-9954-52E3B3A8119D}"/>
            </c:ext>
          </c:extLst>
        </c:ser>
        <c:ser>
          <c:idx val="7"/>
          <c:order val="5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10-06CF-4308-9954-52E3B3A8119D}"/>
            </c:ext>
          </c:extLst>
        </c:ser>
        <c:ser>
          <c:idx val="8"/>
          <c:order val="6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11-06CF-4308-9954-52E3B3A8119D}"/>
            </c:ext>
          </c:extLst>
        </c:ser>
        <c:ser>
          <c:idx val="4"/>
          <c:order val="7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12-06CF-4308-9954-52E3B3A8119D}"/>
            </c:ext>
          </c:extLst>
        </c:ser>
        <c:ser>
          <c:idx val="9"/>
          <c:order val="8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13-06CF-4308-9954-52E3B3A8119D}"/>
            </c:ext>
          </c:extLst>
        </c:ser>
        <c:ser>
          <c:idx val="10"/>
          <c:order val="9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14-06CF-4308-9954-52E3B3A8119D}"/>
            </c:ext>
          </c:extLst>
        </c:ser>
        <c:ser>
          <c:idx val="11"/>
          <c:order val="10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15-06CF-4308-9954-52E3B3A8119D}"/>
            </c:ext>
          </c:extLst>
        </c:ser>
        <c:ser>
          <c:idx val="13"/>
          <c:order val="11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16-06CF-4308-9954-52E3B3A8119D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17-06CF-4308-9954-52E3B3A8119D}"/>
            </c:ext>
          </c:extLst>
        </c:ser>
        <c:ser>
          <c:idx val="14"/>
          <c:order val="13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18-06CF-4308-9954-52E3B3A811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0553160"/>
        <c:axId val="670552768"/>
      </c:scatterChart>
      <c:valAx>
        <c:axId val="670553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552768"/>
        <c:crosses val="autoZero"/>
        <c:crossBetween val="midCat"/>
      </c:valAx>
      <c:valAx>
        <c:axId val="670552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553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>
                <a:solidFill>
                  <a:schemeClr val="bg1"/>
                </a:solidFill>
              </a:rPr>
              <a:t>%</a:t>
            </a:r>
            <a:r>
              <a:rPr lang="en-GB" baseline="0">
                <a:solidFill>
                  <a:schemeClr val="bg1"/>
                </a:solidFill>
              </a:rPr>
              <a:t> Error/Plonk (Grass Height)</a:t>
            </a:r>
            <a:endParaRPr lang="en-GB">
              <a:solidFill>
                <a:schemeClr val="bg1"/>
              </a:solidFill>
            </a:endParaRP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9.785973136055244E-2"/>
          <c:y val="8.4685924873285995E-2"/>
          <c:w val="0.87338210364056434"/>
          <c:h val="0.7603259623867884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noFill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>
                <a:noFill/>
              </a:ln>
              <a:effectLst/>
            </c:spPr>
          </c:marker>
          <c:trendline>
            <c:spPr>
              <a:ln w="38100">
                <a:prstDash val="dash"/>
              </a:ln>
            </c:spPr>
            <c:trendlineType val="power"/>
            <c:dispRSqr val="1"/>
            <c:dispEq val="1"/>
            <c:trendlineLbl>
              <c:layout>
                <c:manualLayout>
                  <c:x val="-0.43963524680999272"/>
                  <c:y val="-0.26750177316372137"/>
                </c:manualLayout>
              </c:layout>
              <c:numFmt formatCode="General" sourceLinked="0"/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</c:trendlineLbl>
          </c:trendline>
          <c:xVal>
            <c:numLit>
              <c:formatCode>General</c:formatCode>
              <c:ptCount val="12"/>
              <c:pt idx="0">
                <c:v>280</c:v>
              </c:pt>
              <c:pt idx="1">
                <c:v>240</c:v>
              </c:pt>
              <c:pt idx="2">
                <c:v>200</c:v>
              </c:pt>
              <c:pt idx="3">
                <c:v>160</c:v>
              </c:pt>
              <c:pt idx="4">
                <c:v>120</c:v>
              </c:pt>
              <c:pt idx="5">
                <c:v>80</c:v>
              </c:pt>
              <c:pt idx="6">
                <c:v>40</c:v>
              </c:pt>
              <c:pt idx="7">
                <c:v>32</c:v>
              </c:pt>
              <c:pt idx="8">
                <c:v>24</c:v>
              </c:pt>
              <c:pt idx="9">
                <c:v>16</c:v>
              </c:pt>
              <c:pt idx="10">
                <c:v>8</c:v>
              </c:pt>
              <c:pt idx="11">
                <c:v>1</c:v>
              </c:pt>
            </c:numLit>
          </c:xVal>
          <c:yVal>
            <c:numLit>
              <c:formatCode>General</c:formatCode>
              <c:ptCount val="12"/>
              <c:pt idx="0">
                <c:v>1.2714153321888246</c:v>
              </c:pt>
              <c:pt idx="1">
                <c:v>1.9376891782082282</c:v>
              </c:pt>
              <c:pt idx="2">
                <c:v>0.97823753158807703</c:v>
              </c:pt>
              <c:pt idx="3">
                <c:v>1.3663961920717718</c:v>
              </c:pt>
              <c:pt idx="4">
                <c:v>2.2805739109817886</c:v>
              </c:pt>
              <c:pt idx="5">
                <c:v>2.1856906818027246</c:v>
              </c:pt>
              <c:pt idx="6">
                <c:v>3.2417875138094345</c:v>
              </c:pt>
              <c:pt idx="7">
                <c:v>4.3064310119674269</c:v>
              </c:pt>
              <c:pt idx="8">
                <c:v>3.7349587515347622</c:v>
              </c:pt>
              <c:pt idx="9">
                <c:v>3.9870903662760426</c:v>
              </c:pt>
              <c:pt idx="10">
                <c:v>5.7330635628203561</c:v>
              </c:pt>
              <c:pt idx="11">
                <c:v>24.540154266962208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5155-462A-89A7-1AAB5D43A1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9710904"/>
        <c:axId val="659712080"/>
      </c:scatterChart>
      <c:valAx>
        <c:axId val="659710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E" sz="1800">
                    <a:solidFill>
                      <a:schemeClr val="tx1"/>
                    </a:solidFill>
                  </a:rPr>
                  <a:t>Sample</a:t>
                </a:r>
                <a:r>
                  <a:rPr lang="en-IE" sz="1800" baseline="0">
                    <a:solidFill>
                      <a:schemeClr val="tx1"/>
                    </a:solidFill>
                  </a:rPr>
                  <a:t> No.</a:t>
                </a:r>
                <a:endParaRPr lang="en-IE" sz="1800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100">
                <a:solidFill>
                  <a:sysClr val="windowText" lastClr="000000"/>
                </a:solidFill>
              </a:defRPr>
            </a:pPr>
            <a:endParaRPr lang="en-US"/>
          </a:p>
        </c:txPr>
        <c:crossAx val="659712080"/>
        <c:crosses val="autoZero"/>
        <c:crossBetween val="midCat"/>
        <c:majorUnit val="10"/>
        <c:minorUnit val="10"/>
      </c:valAx>
      <c:valAx>
        <c:axId val="65971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E" sz="2200">
                    <a:solidFill>
                      <a:schemeClr val="tx1"/>
                    </a:solidFill>
                  </a:rPr>
                  <a:t>% Error Height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710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'Map Template'!$C$41</c:f>
              <c:strCache>
                <c:ptCount val="1"/>
                <c:pt idx="0">
                  <c:v>ycoord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'Map Template'!$B$42:$B$46</c:f>
              <c:numCache>
                <c:formatCode>General</c:formatCode>
                <c:ptCount val="5"/>
                <c:pt idx="0">
                  <c:v>582642.91358000005</c:v>
                </c:pt>
                <c:pt idx="1">
                  <c:v>582845.05923999997</c:v>
                </c:pt>
                <c:pt idx="2">
                  <c:v>582847.37586000003</c:v>
                </c:pt>
                <c:pt idx="3">
                  <c:v>582645.16329000005</c:v>
                </c:pt>
                <c:pt idx="4">
                  <c:v>582642.91358000005</c:v>
                </c:pt>
              </c:numCache>
            </c:numRef>
          </c:xVal>
          <c:yVal>
            <c:numRef>
              <c:f>'Map Template'!$C$42:$C$46</c:f>
              <c:numCache>
                <c:formatCode>General</c:formatCode>
                <c:ptCount val="5"/>
                <c:pt idx="0">
                  <c:v>600914.80507</c:v>
                </c:pt>
                <c:pt idx="1">
                  <c:v>600904.26309000002</c:v>
                </c:pt>
                <c:pt idx="2">
                  <c:v>600949.18533000001</c:v>
                </c:pt>
                <c:pt idx="3">
                  <c:v>600959.79617999995</c:v>
                </c:pt>
                <c:pt idx="4">
                  <c:v>600914.80507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DE-4498-B70D-6843809FCD92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('Map Template'!$A$57,'Map Template'!$D$57)</c:f>
              <c:numCache>
                <c:formatCode>General</c:formatCode>
                <c:ptCount val="2"/>
                <c:pt idx="0">
                  <c:v>582693.45835874998</c:v>
                </c:pt>
                <c:pt idx="1">
                  <c:v>582695.7080687501</c:v>
                </c:pt>
              </c:numCache>
            </c:numRef>
          </c:xVal>
          <c:yVal>
            <c:numRef>
              <c:f>('Map Template'!$B$57,'Map Template'!$E$57)</c:f>
              <c:numCache>
                <c:formatCode>General</c:formatCode>
                <c:ptCount val="2"/>
                <c:pt idx="0">
                  <c:v>600912.16913882701</c:v>
                </c:pt>
                <c:pt idx="1">
                  <c:v>600957.14390637714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DE-4498-B70D-6843809FCD92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('Map Template'!$A$58,'Map Template'!$D$58)</c:f>
              <c:numCache>
                <c:formatCode>General</c:formatCode>
                <c:ptCount val="2"/>
                <c:pt idx="0">
                  <c:v>582744.00313750003</c:v>
                </c:pt>
                <c:pt idx="1">
                  <c:v>582746.25284750015</c:v>
                </c:pt>
              </c:numCache>
            </c:numRef>
          </c:xVal>
          <c:yVal>
            <c:numRef>
              <c:f>('Map Template'!$B$58,'Map Template'!$E$58)</c:f>
              <c:numCache>
                <c:formatCode>General</c:formatCode>
                <c:ptCount val="2"/>
                <c:pt idx="0">
                  <c:v>600909.53320765391</c:v>
                </c:pt>
                <c:pt idx="1">
                  <c:v>600954.49163275433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5DE-4498-B70D-6843809FCD92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('Map Template'!$A$59,'Map Template'!$D$59)</c:f>
              <c:numCache>
                <c:formatCode>General</c:formatCode>
                <c:ptCount val="2"/>
                <c:pt idx="0">
                  <c:v>582794.54791625007</c:v>
                </c:pt>
                <c:pt idx="1">
                  <c:v>582796.79762625019</c:v>
                </c:pt>
              </c:numCache>
            </c:numRef>
          </c:xVal>
          <c:yVal>
            <c:numRef>
              <c:f>('Map Template'!$B$59,'Map Template'!$E$59)</c:f>
              <c:numCache>
                <c:formatCode>General</c:formatCode>
                <c:ptCount val="2"/>
                <c:pt idx="0">
                  <c:v>600906.89727648092</c:v>
                </c:pt>
                <c:pt idx="1">
                  <c:v>600951.83935913164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5DE-4498-B70D-6843809FCD92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'1'!$B$9:$D$9</c:f>
              <c:numCache>
                <c:formatCode>General</c:formatCode>
                <c:ptCount val="3"/>
                <c:pt idx="0">
                  <c:v>582642.91358000005</c:v>
                </c:pt>
                <c:pt idx="1">
                  <c:v>582659</c:v>
                </c:pt>
                <c:pt idx="2">
                  <c:v>582845.05923999997</c:v>
                </c:pt>
              </c:numCache>
            </c:numRef>
          </c:xVal>
          <c:yVal>
            <c:numRef>
              <c:f>'1'!$B$10:$D$10</c:f>
              <c:numCache>
                <c:formatCode>General</c:formatCode>
                <c:ptCount val="3"/>
                <c:pt idx="0">
                  <c:v>600914.80507</c:v>
                </c:pt>
                <c:pt idx="1">
                  <c:v>600928</c:v>
                </c:pt>
                <c:pt idx="2">
                  <c:v>600904.26309000002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DE-4498-B70D-6843809FCD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953416"/>
        <c:axId val="659710512"/>
      </c:scatterChart>
      <c:valAx>
        <c:axId val="575953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710512"/>
        <c:crosses val="autoZero"/>
        <c:crossBetween val="midCat"/>
      </c:valAx>
      <c:valAx>
        <c:axId val="65971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953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'Map Template'!$C$41</c:f>
              <c:strCache>
                <c:ptCount val="1"/>
                <c:pt idx="0">
                  <c:v>ycoord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'Map Template'!$B$42:$B$46</c:f>
              <c:numCache>
                <c:formatCode>General</c:formatCode>
                <c:ptCount val="5"/>
                <c:pt idx="0">
                  <c:v>582642.91358000005</c:v>
                </c:pt>
                <c:pt idx="1">
                  <c:v>582845.05923999997</c:v>
                </c:pt>
                <c:pt idx="2">
                  <c:v>582847.37586000003</c:v>
                </c:pt>
                <c:pt idx="3">
                  <c:v>582645.16329000005</c:v>
                </c:pt>
                <c:pt idx="4">
                  <c:v>582642.91358000005</c:v>
                </c:pt>
              </c:numCache>
            </c:numRef>
          </c:xVal>
          <c:yVal>
            <c:numRef>
              <c:f>'Map Template'!$C$42:$C$46</c:f>
              <c:numCache>
                <c:formatCode>General</c:formatCode>
                <c:ptCount val="5"/>
                <c:pt idx="0">
                  <c:v>600914.80507</c:v>
                </c:pt>
                <c:pt idx="1">
                  <c:v>600904.26309000002</c:v>
                </c:pt>
                <c:pt idx="2">
                  <c:v>600949.18533000001</c:v>
                </c:pt>
                <c:pt idx="3">
                  <c:v>600959.79617999995</c:v>
                </c:pt>
                <c:pt idx="4">
                  <c:v>600914.80507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BF-42C9-AD43-37B1B1B057DC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('Map Template'!$A$57,'Map Template'!$D$57)</c:f>
              <c:numCache>
                <c:formatCode>General</c:formatCode>
                <c:ptCount val="2"/>
                <c:pt idx="0">
                  <c:v>582693.45835874998</c:v>
                </c:pt>
                <c:pt idx="1">
                  <c:v>582695.7080687501</c:v>
                </c:pt>
              </c:numCache>
            </c:numRef>
          </c:xVal>
          <c:yVal>
            <c:numRef>
              <c:f>('Map Template'!$B$57,'Map Template'!$E$57)</c:f>
              <c:numCache>
                <c:formatCode>General</c:formatCode>
                <c:ptCount val="2"/>
                <c:pt idx="0">
                  <c:v>600912.16913882701</c:v>
                </c:pt>
                <c:pt idx="1">
                  <c:v>600957.14390637714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BF-42C9-AD43-37B1B1B057DC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('Map Template'!$A$58,'Map Template'!$D$58)</c:f>
              <c:numCache>
                <c:formatCode>General</c:formatCode>
                <c:ptCount val="2"/>
                <c:pt idx="0">
                  <c:v>582744.00313750003</c:v>
                </c:pt>
                <c:pt idx="1">
                  <c:v>582746.25284750015</c:v>
                </c:pt>
              </c:numCache>
            </c:numRef>
          </c:xVal>
          <c:yVal>
            <c:numRef>
              <c:f>('Map Template'!$B$58,'Map Template'!$E$58)</c:f>
              <c:numCache>
                <c:formatCode>General</c:formatCode>
                <c:ptCount val="2"/>
                <c:pt idx="0">
                  <c:v>600909.53320765391</c:v>
                </c:pt>
                <c:pt idx="1">
                  <c:v>600954.49163275433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BF-42C9-AD43-37B1B1B057DC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('Map Template'!$A$59,'Map Template'!$D$59)</c:f>
              <c:numCache>
                <c:formatCode>General</c:formatCode>
                <c:ptCount val="2"/>
                <c:pt idx="0">
                  <c:v>582794.54791625007</c:v>
                </c:pt>
                <c:pt idx="1">
                  <c:v>582796.79762625019</c:v>
                </c:pt>
              </c:numCache>
            </c:numRef>
          </c:xVal>
          <c:yVal>
            <c:numRef>
              <c:f>('Map Template'!$B$59,'Map Template'!$E$59)</c:f>
              <c:numCache>
                <c:formatCode>General</c:formatCode>
                <c:ptCount val="2"/>
                <c:pt idx="0">
                  <c:v>600906.89727648092</c:v>
                </c:pt>
                <c:pt idx="1">
                  <c:v>600951.83935913164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BF-42C9-AD43-37B1B1B057DC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'2'!$C$20:$F$20</c:f>
              <c:numCache>
                <c:formatCode>General</c:formatCode>
                <c:ptCount val="4"/>
                <c:pt idx="0">
                  <c:v>582642.91358000005</c:v>
                </c:pt>
                <c:pt idx="1">
                  <c:v>582652</c:v>
                </c:pt>
                <c:pt idx="2">
                  <c:v>582767</c:v>
                </c:pt>
                <c:pt idx="3">
                  <c:v>582845.05923999997</c:v>
                </c:pt>
              </c:numCache>
            </c:numRef>
          </c:xVal>
          <c:yVal>
            <c:numRef>
              <c:f>'2'!$C$21:$F$21</c:f>
              <c:numCache>
                <c:formatCode>General</c:formatCode>
                <c:ptCount val="4"/>
                <c:pt idx="0">
                  <c:v>600914.80507</c:v>
                </c:pt>
                <c:pt idx="1">
                  <c:v>600921</c:v>
                </c:pt>
                <c:pt idx="2">
                  <c:v>600913</c:v>
                </c:pt>
                <c:pt idx="3">
                  <c:v>600904.26309000002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3BF-42C9-AD43-37B1B1B057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9712472"/>
        <c:axId val="575892504"/>
      </c:scatterChart>
      <c:valAx>
        <c:axId val="659712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892504"/>
        <c:crosses val="autoZero"/>
        <c:crossBetween val="midCat"/>
      </c:valAx>
      <c:valAx>
        <c:axId val="575892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712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'Map Template'!$C$41</c:f>
              <c:strCache>
                <c:ptCount val="1"/>
                <c:pt idx="0">
                  <c:v>ycoord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'Map Template'!$B$42:$B$46</c:f>
              <c:numCache>
                <c:formatCode>General</c:formatCode>
                <c:ptCount val="5"/>
                <c:pt idx="0">
                  <c:v>582642.91358000005</c:v>
                </c:pt>
                <c:pt idx="1">
                  <c:v>582845.05923999997</c:v>
                </c:pt>
                <c:pt idx="2">
                  <c:v>582847.37586000003</c:v>
                </c:pt>
                <c:pt idx="3">
                  <c:v>582645.16329000005</c:v>
                </c:pt>
                <c:pt idx="4">
                  <c:v>582642.91358000005</c:v>
                </c:pt>
              </c:numCache>
            </c:numRef>
          </c:xVal>
          <c:yVal>
            <c:numRef>
              <c:f>'Map Template'!$C$42:$C$46</c:f>
              <c:numCache>
                <c:formatCode>General</c:formatCode>
                <c:ptCount val="5"/>
                <c:pt idx="0">
                  <c:v>600914.80507</c:v>
                </c:pt>
                <c:pt idx="1">
                  <c:v>600904.26309000002</c:v>
                </c:pt>
                <c:pt idx="2">
                  <c:v>600949.18533000001</c:v>
                </c:pt>
                <c:pt idx="3">
                  <c:v>600959.79617999995</c:v>
                </c:pt>
                <c:pt idx="4">
                  <c:v>600914.80507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6E-4DD8-8CC7-CC911F4995BD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('Map Template'!$A$57,'Map Template'!$D$57)</c:f>
              <c:numCache>
                <c:formatCode>General</c:formatCode>
                <c:ptCount val="2"/>
                <c:pt idx="0">
                  <c:v>582693.45835874998</c:v>
                </c:pt>
                <c:pt idx="1">
                  <c:v>582695.7080687501</c:v>
                </c:pt>
              </c:numCache>
            </c:numRef>
          </c:xVal>
          <c:yVal>
            <c:numRef>
              <c:f>('Map Template'!$B$57,'Map Template'!$E$57)</c:f>
              <c:numCache>
                <c:formatCode>General</c:formatCode>
                <c:ptCount val="2"/>
                <c:pt idx="0">
                  <c:v>600912.16913882701</c:v>
                </c:pt>
                <c:pt idx="1">
                  <c:v>600957.14390637714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6E-4DD8-8CC7-CC911F4995BD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('Map Template'!$A$58,'Map Template'!$D$58)</c:f>
              <c:numCache>
                <c:formatCode>General</c:formatCode>
                <c:ptCount val="2"/>
                <c:pt idx="0">
                  <c:v>582744.00313750003</c:v>
                </c:pt>
                <c:pt idx="1">
                  <c:v>582746.25284750015</c:v>
                </c:pt>
              </c:numCache>
            </c:numRef>
          </c:xVal>
          <c:yVal>
            <c:numRef>
              <c:f>('Map Template'!$B$58,'Map Template'!$E$58)</c:f>
              <c:numCache>
                <c:formatCode>General</c:formatCode>
                <c:ptCount val="2"/>
                <c:pt idx="0">
                  <c:v>600909.53320765391</c:v>
                </c:pt>
                <c:pt idx="1">
                  <c:v>600954.49163275433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16E-4DD8-8CC7-CC911F4995BD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('Map Template'!$A$59,'Map Template'!$D$59)</c:f>
              <c:numCache>
                <c:formatCode>General</c:formatCode>
                <c:ptCount val="2"/>
                <c:pt idx="0">
                  <c:v>582794.54791625007</c:v>
                </c:pt>
                <c:pt idx="1">
                  <c:v>582796.79762625019</c:v>
                </c:pt>
              </c:numCache>
            </c:numRef>
          </c:xVal>
          <c:yVal>
            <c:numRef>
              <c:f>('Map Template'!$B$59,'Map Template'!$E$59)</c:f>
              <c:numCache>
                <c:formatCode>General</c:formatCode>
                <c:ptCount val="2"/>
                <c:pt idx="0">
                  <c:v>600906.89727648092</c:v>
                </c:pt>
                <c:pt idx="1">
                  <c:v>600951.83935913164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16E-4DD8-8CC7-CC911F4995BD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'4'!$C$24:$H$24</c:f>
              <c:numCache>
                <c:formatCode>General</c:formatCode>
                <c:ptCount val="6"/>
                <c:pt idx="0">
                  <c:v>582642.91358000005</c:v>
                </c:pt>
                <c:pt idx="1">
                  <c:v>582687</c:v>
                </c:pt>
                <c:pt idx="2">
                  <c:v>582707</c:v>
                </c:pt>
                <c:pt idx="3">
                  <c:v>582786</c:v>
                </c:pt>
                <c:pt idx="4">
                  <c:v>582824</c:v>
                </c:pt>
                <c:pt idx="5">
                  <c:v>582845.05923999997</c:v>
                </c:pt>
              </c:numCache>
            </c:numRef>
          </c:xVal>
          <c:yVal>
            <c:numRef>
              <c:f>'4'!$C$25:$H$25</c:f>
              <c:numCache>
                <c:formatCode>General</c:formatCode>
                <c:ptCount val="6"/>
                <c:pt idx="0">
                  <c:v>600914.80507</c:v>
                </c:pt>
                <c:pt idx="1">
                  <c:v>600956</c:v>
                </c:pt>
                <c:pt idx="2">
                  <c:v>600944</c:v>
                </c:pt>
                <c:pt idx="3">
                  <c:v>600936</c:v>
                </c:pt>
                <c:pt idx="4">
                  <c:v>600914</c:v>
                </c:pt>
                <c:pt idx="5">
                  <c:v>600904.26309000002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16E-4DD8-8CC7-CC911F4995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890152"/>
        <c:axId val="364849272"/>
      </c:scatterChart>
      <c:valAx>
        <c:axId val="575890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849272"/>
        <c:crosses val="autoZero"/>
        <c:crossBetween val="midCat"/>
      </c:valAx>
      <c:valAx>
        <c:axId val="364849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890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'Map Template'!$C$41</c:f>
              <c:strCache>
                <c:ptCount val="1"/>
                <c:pt idx="0">
                  <c:v>ycoord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'Map Template'!$B$42:$B$46</c:f>
              <c:numCache>
                <c:formatCode>General</c:formatCode>
                <c:ptCount val="5"/>
                <c:pt idx="0">
                  <c:v>582642.91358000005</c:v>
                </c:pt>
                <c:pt idx="1">
                  <c:v>582845.05923999997</c:v>
                </c:pt>
                <c:pt idx="2">
                  <c:v>582847.37586000003</c:v>
                </c:pt>
                <c:pt idx="3">
                  <c:v>582645.16329000005</c:v>
                </c:pt>
                <c:pt idx="4">
                  <c:v>582642.91358000005</c:v>
                </c:pt>
              </c:numCache>
            </c:numRef>
          </c:xVal>
          <c:yVal>
            <c:numRef>
              <c:f>'Map Template'!$C$42:$C$46</c:f>
              <c:numCache>
                <c:formatCode>General</c:formatCode>
                <c:ptCount val="5"/>
                <c:pt idx="0">
                  <c:v>600914.80507</c:v>
                </c:pt>
                <c:pt idx="1">
                  <c:v>600904.26309000002</c:v>
                </c:pt>
                <c:pt idx="2">
                  <c:v>600949.18533000001</c:v>
                </c:pt>
                <c:pt idx="3">
                  <c:v>600959.79617999995</c:v>
                </c:pt>
                <c:pt idx="4">
                  <c:v>600914.80507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2E-4DA4-8C80-6941F5C590A1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('Map Template'!$A$57,'Map Template'!$D$57)</c:f>
              <c:numCache>
                <c:formatCode>General</c:formatCode>
                <c:ptCount val="2"/>
                <c:pt idx="0">
                  <c:v>582693.45835874998</c:v>
                </c:pt>
                <c:pt idx="1">
                  <c:v>582695.7080687501</c:v>
                </c:pt>
              </c:numCache>
            </c:numRef>
          </c:xVal>
          <c:yVal>
            <c:numRef>
              <c:f>('Map Template'!$B$57,'Map Template'!$E$57)</c:f>
              <c:numCache>
                <c:formatCode>General</c:formatCode>
                <c:ptCount val="2"/>
                <c:pt idx="0">
                  <c:v>600912.16913882701</c:v>
                </c:pt>
                <c:pt idx="1">
                  <c:v>600957.14390637714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72E-4DA4-8C80-6941F5C590A1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('Map Template'!$A$58,'Map Template'!$D$58)</c:f>
              <c:numCache>
                <c:formatCode>General</c:formatCode>
                <c:ptCount val="2"/>
                <c:pt idx="0">
                  <c:v>582744.00313750003</c:v>
                </c:pt>
                <c:pt idx="1">
                  <c:v>582746.25284750015</c:v>
                </c:pt>
              </c:numCache>
            </c:numRef>
          </c:xVal>
          <c:yVal>
            <c:numRef>
              <c:f>('Map Template'!$B$58,'Map Template'!$E$58)</c:f>
              <c:numCache>
                <c:formatCode>General</c:formatCode>
                <c:ptCount val="2"/>
                <c:pt idx="0">
                  <c:v>600909.53320765391</c:v>
                </c:pt>
                <c:pt idx="1">
                  <c:v>600954.49163275433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72E-4DA4-8C80-6941F5C590A1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('Map Template'!$A$59,'Map Template'!$D$59)</c:f>
              <c:numCache>
                <c:formatCode>General</c:formatCode>
                <c:ptCount val="2"/>
                <c:pt idx="0">
                  <c:v>582794.54791625007</c:v>
                </c:pt>
                <c:pt idx="1">
                  <c:v>582796.79762625019</c:v>
                </c:pt>
              </c:numCache>
            </c:numRef>
          </c:xVal>
          <c:yVal>
            <c:numRef>
              <c:f>('Map Template'!$B$59,'Map Template'!$E$59)</c:f>
              <c:numCache>
                <c:formatCode>General</c:formatCode>
                <c:ptCount val="2"/>
                <c:pt idx="0">
                  <c:v>600906.89727648092</c:v>
                </c:pt>
                <c:pt idx="1">
                  <c:v>600951.83935913164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72E-4DA4-8C80-6941F5C590A1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'8'!$C$32:$L$32</c:f>
              <c:numCache>
                <c:formatCode>General</c:formatCode>
                <c:ptCount val="10"/>
                <c:pt idx="0">
                  <c:v>582642.91358000005</c:v>
                </c:pt>
                <c:pt idx="1">
                  <c:v>582646</c:v>
                </c:pt>
                <c:pt idx="2">
                  <c:v>582687</c:v>
                </c:pt>
                <c:pt idx="3">
                  <c:v>582707</c:v>
                </c:pt>
                <c:pt idx="4">
                  <c:v>582731</c:v>
                </c:pt>
                <c:pt idx="5">
                  <c:v>582786</c:v>
                </c:pt>
                <c:pt idx="6">
                  <c:v>582766</c:v>
                </c:pt>
                <c:pt idx="7">
                  <c:v>582824</c:v>
                </c:pt>
                <c:pt idx="8">
                  <c:v>582813</c:v>
                </c:pt>
                <c:pt idx="9">
                  <c:v>582845.05923999997</c:v>
                </c:pt>
              </c:numCache>
            </c:numRef>
          </c:xVal>
          <c:yVal>
            <c:numRef>
              <c:f>'8'!$C$33:$L$33</c:f>
              <c:numCache>
                <c:formatCode>General</c:formatCode>
                <c:ptCount val="10"/>
                <c:pt idx="0">
                  <c:v>600914.80507</c:v>
                </c:pt>
                <c:pt idx="1">
                  <c:v>600955</c:v>
                </c:pt>
                <c:pt idx="2">
                  <c:v>600956</c:v>
                </c:pt>
                <c:pt idx="3">
                  <c:v>600944</c:v>
                </c:pt>
                <c:pt idx="4">
                  <c:v>600917</c:v>
                </c:pt>
                <c:pt idx="5">
                  <c:v>600936</c:v>
                </c:pt>
                <c:pt idx="6">
                  <c:v>600916</c:v>
                </c:pt>
                <c:pt idx="7">
                  <c:v>600914</c:v>
                </c:pt>
                <c:pt idx="8">
                  <c:v>600940</c:v>
                </c:pt>
                <c:pt idx="9">
                  <c:v>600904.26309000002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72E-4DA4-8C80-6941F5C59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850448"/>
        <c:axId val="374289808"/>
      </c:scatterChart>
      <c:valAx>
        <c:axId val="364850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289808"/>
        <c:crosses val="autoZero"/>
        <c:crossBetween val="midCat"/>
      </c:valAx>
      <c:valAx>
        <c:axId val="374289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850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'Map Template'!$C$41</c:f>
              <c:strCache>
                <c:ptCount val="1"/>
                <c:pt idx="0">
                  <c:v>ycoord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'Map Template'!$B$42:$B$46</c:f>
              <c:numCache>
                <c:formatCode>General</c:formatCode>
                <c:ptCount val="5"/>
                <c:pt idx="0">
                  <c:v>582642.91358000005</c:v>
                </c:pt>
                <c:pt idx="1">
                  <c:v>582845.05923999997</c:v>
                </c:pt>
                <c:pt idx="2">
                  <c:v>582847.37586000003</c:v>
                </c:pt>
                <c:pt idx="3">
                  <c:v>582645.16329000005</c:v>
                </c:pt>
                <c:pt idx="4">
                  <c:v>582642.91358000005</c:v>
                </c:pt>
              </c:numCache>
            </c:numRef>
          </c:xVal>
          <c:yVal>
            <c:numRef>
              <c:f>'Map Template'!$C$42:$C$46</c:f>
              <c:numCache>
                <c:formatCode>General</c:formatCode>
                <c:ptCount val="5"/>
                <c:pt idx="0">
                  <c:v>600914.80507</c:v>
                </c:pt>
                <c:pt idx="1">
                  <c:v>600904.26309000002</c:v>
                </c:pt>
                <c:pt idx="2">
                  <c:v>600949.18533000001</c:v>
                </c:pt>
                <c:pt idx="3">
                  <c:v>600959.79617999995</c:v>
                </c:pt>
                <c:pt idx="4">
                  <c:v>600914.80507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8D-4118-BB83-E1C18C5D8C69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('Map Template'!$A$57,'Map Template'!$D$57)</c:f>
              <c:numCache>
                <c:formatCode>General</c:formatCode>
                <c:ptCount val="2"/>
                <c:pt idx="0">
                  <c:v>582693.45835874998</c:v>
                </c:pt>
                <c:pt idx="1">
                  <c:v>582695.7080687501</c:v>
                </c:pt>
              </c:numCache>
            </c:numRef>
          </c:xVal>
          <c:yVal>
            <c:numRef>
              <c:f>('Map Template'!$B$57,'Map Template'!$E$57)</c:f>
              <c:numCache>
                <c:formatCode>General</c:formatCode>
                <c:ptCount val="2"/>
                <c:pt idx="0">
                  <c:v>600912.16913882701</c:v>
                </c:pt>
                <c:pt idx="1">
                  <c:v>600957.14390637714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8D-4118-BB83-E1C18C5D8C69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('Map Template'!$A$58,'Map Template'!$D$58)</c:f>
              <c:numCache>
                <c:formatCode>General</c:formatCode>
                <c:ptCount val="2"/>
                <c:pt idx="0">
                  <c:v>582744.00313750003</c:v>
                </c:pt>
                <c:pt idx="1">
                  <c:v>582746.25284750015</c:v>
                </c:pt>
              </c:numCache>
            </c:numRef>
          </c:xVal>
          <c:yVal>
            <c:numRef>
              <c:f>('Map Template'!$B$58,'Map Template'!$E$58)</c:f>
              <c:numCache>
                <c:formatCode>General</c:formatCode>
                <c:ptCount val="2"/>
                <c:pt idx="0">
                  <c:v>600909.53320765391</c:v>
                </c:pt>
                <c:pt idx="1">
                  <c:v>600954.49163275433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8D-4118-BB83-E1C18C5D8C69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('Map Template'!$A$59,'Map Template'!$D$59)</c:f>
              <c:numCache>
                <c:formatCode>General</c:formatCode>
                <c:ptCount val="2"/>
                <c:pt idx="0">
                  <c:v>582794.54791625007</c:v>
                </c:pt>
                <c:pt idx="1">
                  <c:v>582796.79762625019</c:v>
                </c:pt>
              </c:numCache>
            </c:numRef>
          </c:xVal>
          <c:yVal>
            <c:numRef>
              <c:f>('Map Template'!$B$59,'Map Template'!$E$59)</c:f>
              <c:numCache>
                <c:formatCode>General</c:formatCode>
                <c:ptCount val="2"/>
                <c:pt idx="0">
                  <c:v>600906.89727648092</c:v>
                </c:pt>
                <c:pt idx="1">
                  <c:v>600951.83935913164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38D-4118-BB83-E1C18C5D8C69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'12'!$Q$22:$AD$22</c:f>
              <c:numCache>
                <c:formatCode>General</c:formatCode>
                <c:ptCount val="14"/>
                <c:pt idx="0">
                  <c:v>582642.91358000005</c:v>
                </c:pt>
                <c:pt idx="1">
                  <c:v>582677</c:v>
                </c:pt>
                <c:pt idx="2">
                  <c:v>582646</c:v>
                </c:pt>
                <c:pt idx="3">
                  <c:v>582687</c:v>
                </c:pt>
                <c:pt idx="4">
                  <c:v>582700</c:v>
                </c:pt>
                <c:pt idx="5">
                  <c:v>582707</c:v>
                </c:pt>
                <c:pt idx="6">
                  <c:v>582731</c:v>
                </c:pt>
                <c:pt idx="7">
                  <c:v>582786</c:v>
                </c:pt>
                <c:pt idx="8">
                  <c:v>582766</c:v>
                </c:pt>
                <c:pt idx="9">
                  <c:v>582755</c:v>
                </c:pt>
                <c:pt idx="10">
                  <c:v>582820</c:v>
                </c:pt>
                <c:pt idx="11">
                  <c:v>582824</c:v>
                </c:pt>
                <c:pt idx="12">
                  <c:v>582813</c:v>
                </c:pt>
                <c:pt idx="13">
                  <c:v>582845.05923999997</c:v>
                </c:pt>
              </c:numCache>
            </c:numRef>
          </c:xVal>
          <c:yVal>
            <c:numRef>
              <c:f>'12'!$Q$23:$AD$23</c:f>
              <c:numCache>
                <c:formatCode>General</c:formatCode>
                <c:ptCount val="14"/>
                <c:pt idx="0">
                  <c:v>600914.80507</c:v>
                </c:pt>
                <c:pt idx="1">
                  <c:v>600948</c:v>
                </c:pt>
                <c:pt idx="2">
                  <c:v>600955</c:v>
                </c:pt>
                <c:pt idx="3">
                  <c:v>600956</c:v>
                </c:pt>
                <c:pt idx="4">
                  <c:v>600922</c:v>
                </c:pt>
                <c:pt idx="5">
                  <c:v>600944</c:v>
                </c:pt>
                <c:pt idx="6">
                  <c:v>600917</c:v>
                </c:pt>
                <c:pt idx="7">
                  <c:v>600936</c:v>
                </c:pt>
                <c:pt idx="8">
                  <c:v>600916</c:v>
                </c:pt>
                <c:pt idx="9">
                  <c:v>600932</c:v>
                </c:pt>
                <c:pt idx="10">
                  <c:v>600920</c:v>
                </c:pt>
                <c:pt idx="11">
                  <c:v>600914</c:v>
                </c:pt>
                <c:pt idx="12">
                  <c:v>600940</c:v>
                </c:pt>
                <c:pt idx="13">
                  <c:v>600904.26309000002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38D-4118-BB83-E1C18C5D8C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290200"/>
        <c:axId val="567054768"/>
      </c:scatterChart>
      <c:valAx>
        <c:axId val="374290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054768"/>
        <c:crosses val="autoZero"/>
        <c:crossBetween val="midCat"/>
      </c:valAx>
      <c:valAx>
        <c:axId val="567054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290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'Map Template'!$C$41</c:f>
              <c:strCache>
                <c:ptCount val="1"/>
                <c:pt idx="0">
                  <c:v>ycoord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'Map Template'!$B$42:$B$46</c:f>
              <c:numCache>
                <c:formatCode>General</c:formatCode>
                <c:ptCount val="5"/>
                <c:pt idx="0">
                  <c:v>582642.91358000005</c:v>
                </c:pt>
                <c:pt idx="1">
                  <c:v>582845.05923999997</c:v>
                </c:pt>
                <c:pt idx="2">
                  <c:v>582847.37586000003</c:v>
                </c:pt>
                <c:pt idx="3">
                  <c:v>582645.16329000005</c:v>
                </c:pt>
                <c:pt idx="4">
                  <c:v>582642.91358000005</c:v>
                </c:pt>
              </c:numCache>
            </c:numRef>
          </c:xVal>
          <c:yVal>
            <c:numRef>
              <c:f>'Map Template'!$C$42:$C$46</c:f>
              <c:numCache>
                <c:formatCode>General</c:formatCode>
                <c:ptCount val="5"/>
                <c:pt idx="0">
                  <c:v>600914.80507</c:v>
                </c:pt>
                <c:pt idx="1">
                  <c:v>600904.26309000002</c:v>
                </c:pt>
                <c:pt idx="2">
                  <c:v>600949.18533000001</c:v>
                </c:pt>
                <c:pt idx="3">
                  <c:v>600959.79617999995</c:v>
                </c:pt>
                <c:pt idx="4">
                  <c:v>600914.80507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C5-4126-B6B5-712EEF834397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('Map Template'!$A$57,'Map Template'!$D$57)</c:f>
              <c:numCache>
                <c:formatCode>General</c:formatCode>
                <c:ptCount val="2"/>
                <c:pt idx="0">
                  <c:v>582693.45835874998</c:v>
                </c:pt>
                <c:pt idx="1">
                  <c:v>582695.7080687501</c:v>
                </c:pt>
              </c:numCache>
            </c:numRef>
          </c:xVal>
          <c:yVal>
            <c:numRef>
              <c:f>('Map Template'!$B$57,'Map Template'!$E$57)</c:f>
              <c:numCache>
                <c:formatCode>General</c:formatCode>
                <c:ptCount val="2"/>
                <c:pt idx="0">
                  <c:v>600912.16913882701</c:v>
                </c:pt>
                <c:pt idx="1">
                  <c:v>600957.14390637714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5C5-4126-B6B5-712EEF834397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('Map Template'!$A$58,'Map Template'!$D$58)</c:f>
              <c:numCache>
                <c:formatCode>General</c:formatCode>
                <c:ptCount val="2"/>
                <c:pt idx="0">
                  <c:v>582744.00313750003</c:v>
                </c:pt>
                <c:pt idx="1">
                  <c:v>582746.25284750015</c:v>
                </c:pt>
              </c:numCache>
            </c:numRef>
          </c:xVal>
          <c:yVal>
            <c:numRef>
              <c:f>('Map Template'!$B$58,'Map Template'!$E$58)</c:f>
              <c:numCache>
                <c:formatCode>General</c:formatCode>
                <c:ptCount val="2"/>
                <c:pt idx="0">
                  <c:v>600909.53320765391</c:v>
                </c:pt>
                <c:pt idx="1">
                  <c:v>600954.49163275433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5C5-4126-B6B5-712EEF834397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('Map Template'!$A$59,'Map Template'!$D$59)</c:f>
              <c:numCache>
                <c:formatCode>General</c:formatCode>
                <c:ptCount val="2"/>
                <c:pt idx="0">
                  <c:v>582794.54791625007</c:v>
                </c:pt>
                <c:pt idx="1">
                  <c:v>582796.79762625019</c:v>
                </c:pt>
              </c:numCache>
            </c:numRef>
          </c:xVal>
          <c:yVal>
            <c:numRef>
              <c:f>('Map Template'!$B$59,'Map Template'!$E$59)</c:f>
              <c:numCache>
                <c:formatCode>General</c:formatCode>
                <c:ptCount val="2"/>
                <c:pt idx="0">
                  <c:v>600906.89727648092</c:v>
                </c:pt>
                <c:pt idx="1">
                  <c:v>600951.83935913164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5C5-4126-B6B5-712EEF834397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'16'!$Q$26:$AH$26</c:f>
              <c:numCache>
                <c:formatCode>General</c:formatCode>
                <c:ptCount val="18"/>
                <c:pt idx="0">
                  <c:v>582642.91358000005</c:v>
                </c:pt>
                <c:pt idx="1">
                  <c:v>582683</c:v>
                </c:pt>
                <c:pt idx="2">
                  <c:v>582677</c:v>
                </c:pt>
                <c:pt idx="3">
                  <c:v>582646</c:v>
                </c:pt>
                <c:pt idx="4">
                  <c:v>582687</c:v>
                </c:pt>
                <c:pt idx="5">
                  <c:v>582700</c:v>
                </c:pt>
                <c:pt idx="6">
                  <c:v>582707</c:v>
                </c:pt>
                <c:pt idx="7">
                  <c:v>582731</c:v>
                </c:pt>
                <c:pt idx="8">
                  <c:v>582729</c:v>
                </c:pt>
                <c:pt idx="9">
                  <c:v>582786</c:v>
                </c:pt>
                <c:pt idx="10">
                  <c:v>582766</c:v>
                </c:pt>
                <c:pt idx="11">
                  <c:v>582776</c:v>
                </c:pt>
                <c:pt idx="12">
                  <c:v>582755</c:v>
                </c:pt>
                <c:pt idx="13">
                  <c:v>582820</c:v>
                </c:pt>
                <c:pt idx="14">
                  <c:v>582824</c:v>
                </c:pt>
                <c:pt idx="15">
                  <c:v>582813</c:v>
                </c:pt>
                <c:pt idx="16">
                  <c:v>582840</c:v>
                </c:pt>
                <c:pt idx="17">
                  <c:v>582845.05923999997</c:v>
                </c:pt>
              </c:numCache>
            </c:numRef>
          </c:xVal>
          <c:yVal>
            <c:numRef>
              <c:f>'16'!$Q$27:$AH$27</c:f>
              <c:numCache>
                <c:formatCode>General</c:formatCode>
                <c:ptCount val="18"/>
                <c:pt idx="0">
                  <c:v>600914.80507</c:v>
                </c:pt>
                <c:pt idx="1">
                  <c:v>600926</c:v>
                </c:pt>
                <c:pt idx="2">
                  <c:v>600948</c:v>
                </c:pt>
                <c:pt idx="3">
                  <c:v>600955</c:v>
                </c:pt>
                <c:pt idx="4">
                  <c:v>600956</c:v>
                </c:pt>
                <c:pt idx="5">
                  <c:v>600922</c:v>
                </c:pt>
                <c:pt idx="6">
                  <c:v>600944</c:v>
                </c:pt>
                <c:pt idx="7">
                  <c:v>600917</c:v>
                </c:pt>
                <c:pt idx="8">
                  <c:v>600951</c:v>
                </c:pt>
                <c:pt idx="9">
                  <c:v>600936</c:v>
                </c:pt>
                <c:pt idx="10">
                  <c:v>600916</c:v>
                </c:pt>
                <c:pt idx="11">
                  <c:v>600941</c:v>
                </c:pt>
                <c:pt idx="12">
                  <c:v>600932</c:v>
                </c:pt>
                <c:pt idx="13">
                  <c:v>600920</c:v>
                </c:pt>
                <c:pt idx="14">
                  <c:v>600914</c:v>
                </c:pt>
                <c:pt idx="15">
                  <c:v>600940</c:v>
                </c:pt>
                <c:pt idx="16">
                  <c:v>600941</c:v>
                </c:pt>
                <c:pt idx="17">
                  <c:v>600904.26309000002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5C5-4126-B6B5-712EEF8343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055944"/>
        <c:axId val="370612664"/>
      </c:scatterChart>
      <c:valAx>
        <c:axId val="567055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612664"/>
        <c:crosses val="autoZero"/>
        <c:crossBetween val="midCat"/>
      </c:valAx>
      <c:valAx>
        <c:axId val="370612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055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'Map Template'!$C$41</c:f>
              <c:strCache>
                <c:ptCount val="1"/>
                <c:pt idx="0">
                  <c:v>ycoord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'Map Template'!$B$42:$B$46</c:f>
              <c:numCache>
                <c:formatCode>General</c:formatCode>
                <c:ptCount val="5"/>
                <c:pt idx="0">
                  <c:v>582642.91358000005</c:v>
                </c:pt>
                <c:pt idx="1">
                  <c:v>582845.05923999997</c:v>
                </c:pt>
                <c:pt idx="2">
                  <c:v>582847.37586000003</c:v>
                </c:pt>
                <c:pt idx="3">
                  <c:v>582645.16329000005</c:v>
                </c:pt>
                <c:pt idx="4">
                  <c:v>582642.91358000005</c:v>
                </c:pt>
              </c:numCache>
            </c:numRef>
          </c:xVal>
          <c:yVal>
            <c:numRef>
              <c:f>'Map Template'!$C$42:$C$46</c:f>
              <c:numCache>
                <c:formatCode>General</c:formatCode>
                <c:ptCount val="5"/>
                <c:pt idx="0">
                  <c:v>600914.80507</c:v>
                </c:pt>
                <c:pt idx="1">
                  <c:v>600904.26309000002</c:v>
                </c:pt>
                <c:pt idx="2">
                  <c:v>600949.18533000001</c:v>
                </c:pt>
                <c:pt idx="3">
                  <c:v>600959.79617999995</c:v>
                </c:pt>
                <c:pt idx="4">
                  <c:v>600914.80507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8F-4DC2-9E14-8F8EEE22B63D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('Map Template'!$A$57,'Map Template'!$D$57)</c:f>
              <c:numCache>
                <c:formatCode>General</c:formatCode>
                <c:ptCount val="2"/>
                <c:pt idx="0">
                  <c:v>582693.45835874998</c:v>
                </c:pt>
                <c:pt idx="1">
                  <c:v>582695.7080687501</c:v>
                </c:pt>
              </c:numCache>
            </c:numRef>
          </c:xVal>
          <c:yVal>
            <c:numRef>
              <c:f>('Map Template'!$B$57,'Map Template'!$E$57)</c:f>
              <c:numCache>
                <c:formatCode>General</c:formatCode>
                <c:ptCount val="2"/>
                <c:pt idx="0">
                  <c:v>600912.16913882701</c:v>
                </c:pt>
                <c:pt idx="1">
                  <c:v>600957.14390637714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8F-4DC2-9E14-8F8EEE22B63D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('Map Template'!$A$58,'Map Template'!$D$58)</c:f>
              <c:numCache>
                <c:formatCode>General</c:formatCode>
                <c:ptCount val="2"/>
                <c:pt idx="0">
                  <c:v>582744.00313750003</c:v>
                </c:pt>
                <c:pt idx="1">
                  <c:v>582746.25284750015</c:v>
                </c:pt>
              </c:numCache>
            </c:numRef>
          </c:xVal>
          <c:yVal>
            <c:numRef>
              <c:f>('Map Template'!$B$58,'Map Template'!$E$58)</c:f>
              <c:numCache>
                <c:formatCode>General</c:formatCode>
                <c:ptCount val="2"/>
                <c:pt idx="0">
                  <c:v>600909.53320765391</c:v>
                </c:pt>
                <c:pt idx="1">
                  <c:v>600954.49163275433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8F-4DC2-9E14-8F8EEE22B63D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('Map Template'!$A$59,'Map Template'!$D$59)</c:f>
              <c:numCache>
                <c:formatCode>General</c:formatCode>
                <c:ptCount val="2"/>
                <c:pt idx="0">
                  <c:v>582794.54791625007</c:v>
                </c:pt>
                <c:pt idx="1">
                  <c:v>582796.79762625019</c:v>
                </c:pt>
              </c:numCache>
            </c:numRef>
          </c:xVal>
          <c:yVal>
            <c:numRef>
              <c:f>('Map Template'!$B$59,'Map Template'!$E$59)</c:f>
              <c:numCache>
                <c:formatCode>General</c:formatCode>
                <c:ptCount val="2"/>
                <c:pt idx="0">
                  <c:v>600906.89727648092</c:v>
                </c:pt>
                <c:pt idx="1">
                  <c:v>600951.83935913164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8F-4DC2-9E14-8F8EEE22B63D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'20'!$Q$30:$AL$30</c:f>
              <c:numCache>
                <c:formatCode>General</c:formatCode>
                <c:ptCount val="22"/>
                <c:pt idx="0">
                  <c:v>582642.91358000005</c:v>
                </c:pt>
                <c:pt idx="1">
                  <c:v>582683</c:v>
                </c:pt>
                <c:pt idx="2">
                  <c:v>582677</c:v>
                </c:pt>
                <c:pt idx="3">
                  <c:v>582653</c:v>
                </c:pt>
                <c:pt idx="4">
                  <c:v>582646</c:v>
                </c:pt>
                <c:pt idx="5">
                  <c:v>582687</c:v>
                </c:pt>
                <c:pt idx="6">
                  <c:v>582700</c:v>
                </c:pt>
                <c:pt idx="7">
                  <c:v>582707</c:v>
                </c:pt>
                <c:pt idx="8">
                  <c:v>582722</c:v>
                </c:pt>
                <c:pt idx="9">
                  <c:v>582731</c:v>
                </c:pt>
                <c:pt idx="10">
                  <c:v>582729</c:v>
                </c:pt>
                <c:pt idx="11">
                  <c:v>582776</c:v>
                </c:pt>
                <c:pt idx="12">
                  <c:v>582786</c:v>
                </c:pt>
                <c:pt idx="13">
                  <c:v>582766</c:v>
                </c:pt>
                <c:pt idx="14">
                  <c:v>582776</c:v>
                </c:pt>
                <c:pt idx="15">
                  <c:v>582755</c:v>
                </c:pt>
                <c:pt idx="16">
                  <c:v>582820</c:v>
                </c:pt>
                <c:pt idx="17">
                  <c:v>582824</c:v>
                </c:pt>
                <c:pt idx="18">
                  <c:v>582813</c:v>
                </c:pt>
                <c:pt idx="19">
                  <c:v>582829</c:v>
                </c:pt>
                <c:pt idx="20">
                  <c:v>582840</c:v>
                </c:pt>
                <c:pt idx="21">
                  <c:v>582845.05923999997</c:v>
                </c:pt>
              </c:numCache>
            </c:numRef>
          </c:xVal>
          <c:yVal>
            <c:numRef>
              <c:f>'20'!$Q$31:$AL$31</c:f>
              <c:numCache>
                <c:formatCode>General</c:formatCode>
                <c:ptCount val="22"/>
                <c:pt idx="0">
                  <c:v>600914.80507</c:v>
                </c:pt>
                <c:pt idx="1">
                  <c:v>600926</c:v>
                </c:pt>
                <c:pt idx="2">
                  <c:v>600948</c:v>
                </c:pt>
                <c:pt idx="3">
                  <c:v>600925</c:v>
                </c:pt>
                <c:pt idx="4">
                  <c:v>600955</c:v>
                </c:pt>
                <c:pt idx="5">
                  <c:v>600956</c:v>
                </c:pt>
                <c:pt idx="6">
                  <c:v>600922</c:v>
                </c:pt>
                <c:pt idx="7">
                  <c:v>600944</c:v>
                </c:pt>
                <c:pt idx="8">
                  <c:v>600952</c:v>
                </c:pt>
                <c:pt idx="9">
                  <c:v>600917</c:v>
                </c:pt>
                <c:pt idx="10">
                  <c:v>600951</c:v>
                </c:pt>
                <c:pt idx="11">
                  <c:v>600918</c:v>
                </c:pt>
                <c:pt idx="12">
                  <c:v>600936</c:v>
                </c:pt>
                <c:pt idx="13">
                  <c:v>600916</c:v>
                </c:pt>
                <c:pt idx="14">
                  <c:v>600941</c:v>
                </c:pt>
                <c:pt idx="15">
                  <c:v>600932</c:v>
                </c:pt>
                <c:pt idx="16">
                  <c:v>600920</c:v>
                </c:pt>
                <c:pt idx="17">
                  <c:v>600914</c:v>
                </c:pt>
                <c:pt idx="18">
                  <c:v>600940</c:v>
                </c:pt>
                <c:pt idx="19">
                  <c:v>600942</c:v>
                </c:pt>
                <c:pt idx="20">
                  <c:v>600941</c:v>
                </c:pt>
                <c:pt idx="21">
                  <c:v>600904.26309000002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8F-4DC2-9E14-8F8EEE22B6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5922048"/>
        <c:axId val="375922440"/>
      </c:scatterChart>
      <c:valAx>
        <c:axId val="375922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922440"/>
        <c:crosses val="autoZero"/>
        <c:crossBetween val="midCat"/>
      </c:valAx>
      <c:valAx>
        <c:axId val="375922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922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'Map Template'!$C$41</c:f>
              <c:strCache>
                <c:ptCount val="1"/>
                <c:pt idx="0">
                  <c:v>ycoord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'Map Template'!$B$42:$B$46</c:f>
              <c:numCache>
                <c:formatCode>General</c:formatCode>
                <c:ptCount val="5"/>
                <c:pt idx="0">
                  <c:v>582642.91358000005</c:v>
                </c:pt>
                <c:pt idx="1">
                  <c:v>582845.05923999997</c:v>
                </c:pt>
                <c:pt idx="2">
                  <c:v>582847.37586000003</c:v>
                </c:pt>
                <c:pt idx="3">
                  <c:v>582645.16329000005</c:v>
                </c:pt>
                <c:pt idx="4">
                  <c:v>582642.91358000005</c:v>
                </c:pt>
              </c:numCache>
            </c:numRef>
          </c:xVal>
          <c:yVal>
            <c:numRef>
              <c:f>'Map Template'!$C$42:$C$46</c:f>
              <c:numCache>
                <c:formatCode>General</c:formatCode>
                <c:ptCount val="5"/>
                <c:pt idx="0">
                  <c:v>600914.80507</c:v>
                </c:pt>
                <c:pt idx="1">
                  <c:v>600904.26309000002</c:v>
                </c:pt>
                <c:pt idx="2">
                  <c:v>600949.18533000001</c:v>
                </c:pt>
                <c:pt idx="3">
                  <c:v>600959.79617999995</c:v>
                </c:pt>
                <c:pt idx="4">
                  <c:v>600914.80507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B4-444C-A848-9B8D0A73E12E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('Map Template'!$A$57,'Map Template'!$D$57)</c:f>
              <c:numCache>
                <c:formatCode>General</c:formatCode>
                <c:ptCount val="2"/>
                <c:pt idx="0">
                  <c:v>582693.45835874998</c:v>
                </c:pt>
                <c:pt idx="1">
                  <c:v>582695.7080687501</c:v>
                </c:pt>
              </c:numCache>
            </c:numRef>
          </c:xVal>
          <c:yVal>
            <c:numRef>
              <c:f>('Map Template'!$B$57,'Map Template'!$E$57)</c:f>
              <c:numCache>
                <c:formatCode>General</c:formatCode>
                <c:ptCount val="2"/>
                <c:pt idx="0">
                  <c:v>600912.16913882701</c:v>
                </c:pt>
                <c:pt idx="1">
                  <c:v>600957.14390637714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FB4-444C-A848-9B8D0A73E12E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('Map Template'!$A$58,'Map Template'!$D$58)</c:f>
              <c:numCache>
                <c:formatCode>General</c:formatCode>
                <c:ptCount val="2"/>
                <c:pt idx="0">
                  <c:v>582744.00313750003</c:v>
                </c:pt>
                <c:pt idx="1">
                  <c:v>582746.25284750015</c:v>
                </c:pt>
              </c:numCache>
            </c:numRef>
          </c:xVal>
          <c:yVal>
            <c:numRef>
              <c:f>('Map Template'!$B$58,'Map Template'!$E$58)</c:f>
              <c:numCache>
                <c:formatCode>General</c:formatCode>
                <c:ptCount val="2"/>
                <c:pt idx="0">
                  <c:v>600909.53320765391</c:v>
                </c:pt>
                <c:pt idx="1">
                  <c:v>600954.49163275433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FB4-444C-A848-9B8D0A73E12E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('Map Template'!$A$59,'Map Template'!$D$59)</c:f>
              <c:numCache>
                <c:formatCode>General</c:formatCode>
                <c:ptCount val="2"/>
                <c:pt idx="0">
                  <c:v>582794.54791625007</c:v>
                </c:pt>
                <c:pt idx="1">
                  <c:v>582796.79762625019</c:v>
                </c:pt>
              </c:numCache>
            </c:numRef>
          </c:xVal>
          <c:yVal>
            <c:numRef>
              <c:f>('Map Template'!$B$59,'Map Template'!$E$59)</c:f>
              <c:numCache>
                <c:formatCode>General</c:formatCode>
                <c:ptCount val="2"/>
                <c:pt idx="0">
                  <c:v>600906.89727648092</c:v>
                </c:pt>
                <c:pt idx="1">
                  <c:v>600951.83935913164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FB4-444C-A848-9B8D0A73E12E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'24'!$Q$34:$AP$34</c:f>
              <c:numCache>
                <c:formatCode>General</c:formatCode>
                <c:ptCount val="26"/>
                <c:pt idx="0">
                  <c:v>582642.91358000005</c:v>
                </c:pt>
                <c:pt idx="1">
                  <c:v>582683</c:v>
                </c:pt>
                <c:pt idx="2">
                  <c:v>582677</c:v>
                </c:pt>
                <c:pt idx="3">
                  <c:v>582653</c:v>
                </c:pt>
                <c:pt idx="4">
                  <c:v>582646</c:v>
                </c:pt>
                <c:pt idx="5">
                  <c:v>582647</c:v>
                </c:pt>
                <c:pt idx="6">
                  <c:v>582687</c:v>
                </c:pt>
                <c:pt idx="7">
                  <c:v>582719</c:v>
                </c:pt>
                <c:pt idx="8">
                  <c:v>582700</c:v>
                </c:pt>
                <c:pt idx="9">
                  <c:v>582707</c:v>
                </c:pt>
                <c:pt idx="10">
                  <c:v>582722</c:v>
                </c:pt>
                <c:pt idx="11">
                  <c:v>582731</c:v>
                </c:pt>
                <c:pt idx="12">
                  <c:v>582729</c:v>
                </c:pt>
                <c:pt idx="13">
                  <c:v>582776</c:v>
                </c:pt>
                <c:pt idx="14">
                  <c:v>582786</c:v>
                </c:pt>
                <c:pt idx="15">
                  <c:v>582766</c:v>
                </c:pt>
                <c:pt idx="16">
                  <c:v>582776</c:v>
                </c:pt>
                <c:pt idx="17">
                  <c:v>582758</c:v>
                </c:pt>
                <c:pt idx="18">
                  <c:v>582755</c:v>
                </c:pt>
                <c:pt idx="19">
                  <c:v>582835</c:v>
                </c:pt>
                <c:pt idx="20">
                  <c:v>582820</c:v>
                </c:pt>
                <c:pt idx="21">
                  <c:v>582824</c:v>
                </c:pt>
                <c:pt idx="22">
                  <c:v>582813</c:v>
                </c:pt>
                <c:pt idx="23">
                  <c:v>582829</c:v>
                </c:pt>
                <c:pt idx="24">
                  <c:v>582840</c:v>
                </c:pt>
                <c:pt idx="25">
                  <c:v>582845.05923999997</c:v>
                </c:pt>
              </c:numCache>
            </c:numRef>
          </c:xVal>
          <c:yVal>
            <c:numRef>
              <c:f>'24'!$Q$35:$AP$35</c:f>
              <c:numCache>
                <c:formatCode>General</c:formatCode>
                <c:ptCount val="26"/>
                <c:pt idx="0">
                  <c:v>600914.80507</c:v>
                </c:pt>
                <c:pt idx="1">
                  <c:v>600926</c:v>
                </c:pt>
                <c:pt idx="2">
                  <c:v>600948</c:v>
                </c:pt>
                <c:pt idx="3">
                  <c:v>600925</c:v>
                </c:pt>
                <c:pt idx="4">
                  <c:v>600955</c:v>
                </c:pt>
                <c:pt idx="5">
                  <c:v>600927</c:v>
                </c:pt>
                <c:pt idx="6">
                  <c:v>600956</c:v>
                </c:pt>
                <c:pt idx="7">
                  <c:v>600950</c:v>
                </c:pt>
                <c:pt idx="8">
                  <c:v>600922</c:v>
                </c:pt>
                <c:pt idx="9">
                  <c:v>600944</c:v>
                </c:pt>
                <c:pt idx="10">
                  <c:v>600952</c:v>
                </c:pt>
                <c:pt idx="11">
                  <c:v>600917</c:v>
                </c:pt>
                <c:pt idx="12">
                  <c:v>600951</c:v>
                </c:pt>
                <c:pt idx="13">
                  <c:v>600918</c:v>
                </c:pt>
                <c:pt idx="14">
                  <c:v>600936</c:v>
                </c:pt>
                <c:pt idx="15">
                  <c:v>600916</c:v>
                </c:pt>
                <c:pt idx="16">
                  <c:v>600941</c:v>
                </c:pt>
                <c:pt idx="17">
                  <c:v>600912</c:v>
                </c:pt>
                <c:pt idx="18">
                  <c:v>600932</c:v>
                </c:pt>
                <c:pt idx="19">
                  <c:v>600918</c:v>
                </c:pt>
                <c:pt idx="20">
                  <c:v>600920</c:v>
                </c:pt>
                <c:pt idx="21">
                  <c:v>600914</c:v>
                </c:pt>
                <c:pt idx="22">
                  <c:v>600940</c:v>
                </c:pt>
                <c:pt idx="23">
                  <c:v>600942</c:v>
                </c:pt>
                <c:pt idx="24">
                  <c:v>600941</c:v>
                </c:pt>
                <c:pt idx="25">
                  <c:v>600904.26309000002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FB4-444C-A848-9B8D0A73E1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5923224"/>
        <c:axId val="564982664"/>
      </c:scatterChart>
      <c:valAx>
        <c:axId val="375923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982664"/>
        <c:crosses val="autoZero"/>
        <c:crossBetween val="midCat"/>
      </c:valAx>
      <c:valAx>
        <c:axId val="564982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9232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'Map Template'!$C$41</c:f>
              <c:strCache>
                <c:ptCount val="1"/>
                <c:pt idx="0">
                  <c:v>ycoord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'Map Template'!$B$42:$B$46</c:f>
              <c:numCache>
                <c:formatCode>General</c:formatCode>
                <c:ptCount val="5"/>
                <c:pt idx="0">
                  <c:v>582642.91358000005</c:v>
                </c:pt>
                <c:pt idx="1">
                  <c:v>582845.05923999997</c:v>
                </c:pt>
                <c:pt idx="2">
                  <c:v>582847.37586000003</c:v>
                </c:pt>
                <c:pt idx="3">
                  <c:v>582645.16329000005</c:v>
                </c:pt>
                <c:pt idx="4">
                  <c:v>582642.91358000005</c:v>
                </c:pt>
              </c:numCache>
            </c:numRef>
          </c:xVal>
          <c:yVal>
            <c:numRef>
              <c:f>'Map Template'!$C$42:$C$46</c:f>
              <c:numCache>
                <c:formatCode>General</c:formatCode>
                <c:ptCount val="5"/>
                <c:pt idx="0">
                  <c:v>600914.80507</c:v>
                </c:pt>
                <c:pt idx="1">
                  <c:v>600904.26309000002</c:v>
                </c:pt>
                <c:pt idx="2">
                  <c:v>600949.18533000001</c:v>
                </c:pt>
                <c:pt idx="3">
                  <c:v>600959.79617999995</c:v>
                </c:pt>
                <c:pt idx="4">
                  <c:v>600914.80507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36-4557-A28A-4BD731C0462E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('Map Template'!$A$57,'Map Template'!$D$57)</c:f>
              <c:numCache>
                <c:formatCode>General</c:formatCode>
                <c:ptCount val="2"/>
                <c:pt idx="0">
                  <c:v>582693.45835874998</c:v>
                </c:pt>
                <c:pt idx="1">
                  <c:v>582695.7080687501</c:v>
                </c:pt>
              </c:numCache>
            </c:numRef>
          </c:xVal>
          <c:yVal>
            <c:numRef>
              <c:f>('Map Template'!$B$57,'Map Template'!$E$57)</c:f>
              <c:numCache>
                <c:formatCode>General</c:formatCode>
                <c:ptCount val="2"/>
                <c:pt idx="0">
                  <c:v>600912.16913882701</c:v>
                </c:pt>
                <c:pt idx="1">
                  <c:v>600957.14390637714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A36-4557-A28A-4BD731C0462E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('Map Template'!$A$58,'Map Template'!$D$58)</c:f>
              <c:numCache>
                <c:formatCode>General</c:formatCode>
                <c:ptCount val="2"/>
                <c:pt idx="0">
                  <c:v>582744.00313750003</c:v>
                </c:pt>
                <c:pt idx="1">
                  <c:v>582746.25284750015</c:v>
                </c:pt>
              </c:numCache>
            </c:numRef>
          </c:xVal>
          <c:yVal>
            <c:numRef>
              <c:f>('Map Template'!$B$58,'Map Template'!$E$58)</c:f>
              <c:numCache>
                <c:formatCode>General</c:formatCode>
                <c:ptCount val="2"/>
                <c:pt idx="0">
                  <c:v>600909.53320765391</c:v>
                </c:pt>
                <c:pt idx="1">
                  <c:v>600954.49163275433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A36-4557-A28A-4BD731C0462E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('Map Template'!$A$59,'Map Template'!$D$59)</c:f>
              <c:numCache>
                <c:formatCode>General</c:formatCode>
                <c:ptCount val="2"/>
                <c:pt idx="0">
                  <c:v>582794.54791625007</c:v>
                </c:pt>
                <c:pt idx="1">
                  <c:v>582796.79762625019</c:v>
                </c:pt>
              </c:numCache>
            </c:numRef>
          </c:xVal>
          <c:yVal>
            <c:numRef>
              <c:f>('Map Template'!$B$59,'Map Template'!$E$59)</c:f>
              <c:numCache>
                <c:formatCode>General</c:formatCode>
                <c:ptCount val="2"/>
                <c:pt idx="0">
                  <c:v>600906.89727648092</c:v>
                </c:pt>
                <c:pt idx="1">
                  <c:v>600951.83935913164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A36-4557-A28A-4BD731C0462E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'32'!$Q$42:$AX$42</c:f>
              <c:numCache>
                <c:formatCode>General</c:formatCode>
                <c:ptCount val="34"/>
                <c:pt idx="0">
                  <c:v>582642.91358000005</c:v>
                </c:pt>
                <c:pt idx="1">
                  <c:v>582683</c:v>
                </c:pt>
                <c:pt idx="2">
                  <c:v>582677</c:v>
                </c:pt>
                <c:pt idx="3">
                  <c:v>582653</c:v>
                </c:pt>
                <c:pt idx="4">
                  <c:v>582646</c:v>
                </c:pt>
                <c:pt idx="5">
                  <c:v>582647</c:v>
                </c:pt>
                <c:pt idx="6">
                  <c:v>582681</c:v>
                </c:pt>
                <c:pt idx="7">
                  <c:v>582690</c:v>
                </c:pt>
                <c:pt idx="8">
                  <c:v>582687</c:v>
                </c:pt>
                <c:pt idx="9">
                  <c:v>582719</c:v>
                </c:pt>
                <c:pt idx="10">
                  <c:v>582742</c:v>
                </c:pt>
                <c:pt idx="11">
                  <c:v>582700</c:v>
                </c:pt>
                <c:pt idx="12">
                  <c:v>582707</c:v>
                </c:pt>
                <c:pt idx="13">
                  <c:v>582722</c:v>
                </c:pt>
                <c:pt idx="14">
                  <c:v>582727</c:v>
                </c:pt>
                <c:pt idx="15">
                  <c:v>582731</c:v>
                </c:pt>
                <c:pt idx="16">
                  <c:v>582729</c:v>
                </c:pt>
                <c:pt idx="17">
                  <c:v>582765</c:v>
                </c:pt>
                <c:pt idx="18">
                  <c:v>582776</c:v>
                </c:pt>
                <c:pt idx="19">
                  <c:v>582786</c:v>
                </c:pt>
                <c:pt idx="20">
                  <c:v>582788</c:v>
                </c:pt>
                <c:pt idx="21">
                  <c:v>582766</c:v>
                </c:pt>
                <c:pt idx="22">
                  <c:v>582776</c:v>
                </c:pt>
                <c:pt idx="23">
                  <c:v>582758</c:v>
                </c:pt>
                <c:pt idx="24">
                  <c:v>582755</c:v>
                </c:pt>
                <c:pt idx="25">
                  <c:v>582835</c:v>
                </c:pt>
                <c:pt idx="26">
                  <c:v>582830</c:v>
                </c:pt>
                <c:pt idx="27">
                  <c:v>582820</c:v>
                </c:pt>
                <c:pt idx="28">
                  <c:v>582824</c:v>
                </c:pt>
                <c:pt idx="29">
                  <c:v>582813</c:v>
                </c:pt>
                <c:pt idx="30">
                  <c:v>582829</c:v>
                </c:pt>
                <c:pt idx="31">
                  <c:v>582845</c:v>
                </c:pt>
                <c:pt idx="32">
                  <c:v>582840</c:v>
                </c:pt>
                <c:pt idx="33">
                  <c:v>582845.05923999997</c:v>
                </c:pt>
              </c:numCache>
            </c:numRef>
          </c:xVal>
          <c:yVal>
            <c:numRef>
              <c:f>'32'!$Q$43:$AX$43</c:f>
              <c:numCache>
                <c:formatCode>General</c:formatCode>
                <c:ptCount val="34"/>
                <c:pt idx="0">
                  <c:v>600914.80507</c:v>
                </c:pt>
                <c:pt idx="1">
                  <c:v>600948</c:v>
                </c:pt>
                <c:pt idx="2">
                  <c:v>600926</c:v>
                </c:pt>
                <c:pt idx="3">
                  <c:v>600928</c:v>
                </c:pt>
                <c:pt idx="4">
                  <c:v>600927</c:v>
                </c:pt>
                <c:pt idx="5">
                  <c:v>600956</c:v>
                </c:pt>
                <c:pt idx="6">
                  <c:v>600917</c:v>
                </c:pt>
                <c:pt idx="7">
                  <c:v>600955</c:v>
                </c:pt>
                <c:pt idx="8">
                  <c:v>600925</c:v>
                </c:pt>
                <c:pt idx="9">
                  <c:v>600923</c:v>
                </c:pt>
                <c:pt idx="10">
                  <c:v>600922</c:v>
                </c:pt>
                <c:pt idx="11">
                  <c:v>600951</c:v>
                </c:pt>
                <c:pt idx="12">
                  <c:v>600948</c:v>
                </c:pt>
                <c:pt idx="13">
                  <c:v>600950</c:v>
                </c:pt>
                <c:pt idx="14">
                  <c:v>600952</c:v>
                </c:pt>
                <c:pt idx="15">
                  <c:v>600944</c:v>
                </c:pt>
                <c:pt idx="16">
                  <c:v>600917</c:v>
                </c:pt>
                <c:pt idx="17">
                  <c:v>600912</c:v>
                </c:pt>
                <c:pt idx="18">
                  <c:v>600936</c:v>
                </c:pt>
                <c:pt idx="19">
                  <c:v>600918</c:v>
                </c:pt>
                <c:pt idx="20">
                  <c:v>600932</c:v>
                </c:pt>
                <c:pt idx="21">
                  <c:v>600944</c:v>
                </c:pt>
                <c:pt idx="22">
                  <c:v>600916</c:v>
                </c:pt>
                <c:pt idx="23">
                  <c:v>600941</c:v>
                </c:pt>
                <c:pt idx="24">
                  <c:v>600943</c:v>
                </c:pt>
                <c:pt idx="25">
                  <c:v>600920</c:v>
                </c:pt>
                <c:pt idx="26">
                  <c:v>600911</c:v>
                </c:pt>
                <c:pt idx="27">
                  <c:v>600932</c:v>
                </c:pt>
                <c:pt idx="28">
                  <c:v>600918</c:v>
                </c:pt>
                <c:pt idx="29">
                  <c:v>600942</c:v>
                </c:pt>
                <c:pt idx="30">
                  <c:v>600940</c:v>
                </c:pt>
                <c:pt idx="31">
                  <c:v>600914</c:v>
                </c:pt>
                <c:pt idx="32">
                  <c:v>600941</c:v>
                </c:pt>
                <c:pt idx="33">
                  <c:v>600904.26309000002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A36-4557-A28A-4BD731C046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4983448"/>
        <c:axId val="564983840"/>
      </c:scatterChart>
      <c:valAx>
        <c:axId val="564983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983840"/>
        <c:crosses val="autoZero"/>
        <c:crossBetween val="midCat"/>
      </c:valAx>
      <c:valAx>
        <c:axId val="56498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983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'Map Template'!$C$41</c:f>
              <c:strCache>
                <c:ptCount val="1"/>
                <c:pt idx="0">
                  <c:v>ycoord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'Map Template'!$B$42:$B$46</c:f>
              <c:numCache>
                <c:formatCode>General</c:formatCode>
                <c:ptCount val="5"/>
                <c:pt idx="0">
                  <c:v>582642.91358000005</c:v>
                </c:pt>
                <c:pt idx="1">
                  <c:v>582845.05923999997</c:v>
                </c:pt>
                <c:pt idx="2">
                  <c:v>582847.37586000003</c:v>
                </c:pt>
                <c:pt idx="3">
                  <c:v>582645.16329000005</c:v>
                </c:pt>
                <c:pt idx="4">
                  <c:v>582642.91358000005</c:v>
                </c:pt>
              </c:numCache>
            </c:numRef>
          </c:xVal>
          <c:yVal>
            <c:numRef>
              <c:f>'Map Template'!$C$42:$C$46</c:f>
              <c:numCache>
                <c:formatCode>General</c:formatCode>
                <c:ptCount val="5"/>
                <c:pt idx="0">
                  <c:v>600914.80507</c:v>
                </c:pt>
                <c:pt idx="1">
                  <c:v>600904.26309000002</c:v>
                </c:pt>
                <c:pt idx="2">
                  <c:v>600949.18533000001</c:v>
                </c:pt>
                <c:pt idx="3">
                  <c:v>600959.79617999995</c:v>
                </c:pt>
                <c:pt idx="4">
                  <c:v>600914.80507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42-49A9-AF94-56EB2C47BAF7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('Map Template'!$A$57,'Map Template'!$D$57)</c:f>
              <c:numCache>
                <c:formatCode>General</c:formatCode>
                <c:ptCount val="2"/>
                <c:pt idx="0">
                  <c:v>582693.45835874998</c:v>
                </c:pt>
                <c:pt idx="1">
                  <c:v>582695.7080687501</c:v>
                </c:pt>
              </c:numCache>
            </c:numRef>
          </c:xVal>
          <c:yVal>
            <c:numRef>
              <c:f>('Map Template'!$B$57,'Map Template'!$E$57)</c:f>
              <c:numCache>
                <c:formatCode>General</c:formatCode>
                <c:ptCount val="2"/>
                <c:pt idx="0">
                  <c:v>600912.16913882701</c:v>
                </c:pt>
                <c:pt idx="1">
                  <c:v>600957.14390637714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742-49A9-AF94-56EB2C47BAF7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('Map Template'!$A$58,'Map Template'!$D$58)</c:f>
              <c:numCache>
                <c:formatCode>General</c:formatCode>
                <c:ptCount val="2"/>
                <c:pt idx="0">
                  <c:v>582744.00313750003</c:v>
                </c:pt>
                <c:pt idx="1">
                  <c:v>582746.25284750015</c:v>
                </c:pt>
              </c:numCache>
            </c:numRef>
          </c:xVal>
          <c:yVal>
            <c:numRef>
              <c:f>('Map Template'!$B$58,'Map Template'!$E$58)</c:f>
              <c:numCache>
                <c:formatCode>General</c:formatCode>
                <c:ptCount val="2"/>
                <c:pt idx="0">
                  <c:v>600909.53320765391</c:v>
                </c:pt>
                <c:pt idx="1">
                  <c:v>600954.49163275433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742-49A9-AF94-56EB2C47BAF7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('Map Template'!$A$59,'Map Template'!$D$59)</c:f>
              <c:numCache>
                <c:formatCode>General</c:formatCode>
                <c:ptCount val="2"/>
                <c:pt idx="0">
                  <c:v>582794.54791625007</c:v>
                </c:pt>
                <c:pt idx="1">
                  <c:v>582796.79762625019</c:v>
                </c:pt>
              </c:numCache>
            </c:numRef>
          </c:xVal>
          <c:yVal>
            <c:numRef>
              <c:f>('Map Template'!$B$59,'Map Template'!$E$59)</c:f>
              <c:numCache>
                <c:formatCode>General</c:formatCode>
                <c:ptCount val="2"/>
                <c:pt idx="0">
                  <c:v>600906.89727648092</c:v>
                </c:pt>
                <c:pt idx="1">
                  <c:v>600951.83935913164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742-49A9-AF94-56EB2C47BAF7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'40'!$Q$50:$BF$50</c:f>
              <c:numCache>
                <c:formatCode>General</c:formatCode>
                <c:ptCount val="42"/>
                <c:pt idx="0">
                  <c:v>582642.91358000005</c:v>
                </c:pt>
                <c:pt idx="1">
                  <c:v>582651</c:v>
                </c:pt>
                <c:pt idx="2">
                  <c:v>582683</c:v>
                </c:pt>
                <c:pt idx="3">
                  <c:v>582677</c:v>
                </c:pt>
                <c:pt idx="4">
                  <c:v>582653</c:v>
                </c:pt>
                <c:pt idx="5">
                  <c:v>582646</c:v>
                </c:pt>
                <c:pt idx="6">
                  <c:v>582685</c:v>
                </c:pt>
                <c:pt idx="7">
                  <c:v>582647</c:v>
                </c:pt>
                <c:pt idx="8">
                  <c:v>582681</c:v>
                </c:pt>
                <c:pt idx="9">
                  <c:v>582690</c:v>
                </c:pt>
                <c:pt idx="10">
                  <c:v>582687</c:v>
                </c:pt>
                <c:pt idx="11">
                  <c:v>582719</c:v>
                </c:pt>
                <c:pt idx="12">
                  <c:v>582742</c:v>
                </c:pt>
                <c:pt idx="13">
                  <c:v>582700</c:v>
                </c:pt>
                <c:pt idx="14">
                  <c:v>582731</c:v>
                </c:pt>
                <c:pt idx="15">
                  <c:v>582707</c:v>
                </c:pt>
                <c:pt idx="16">
                  <c:v>582722</c:v>
                </c:pt>
                <c:pt idx="17">
                  <c:v>582727</c:v>
                </c:pt>
                <c:pt idx="18">
                  <c:v>582731</c:v>
                </c:pt>
                <c:pt idx="19">
                  <c:v>582729</c:v>
                </c:pt>
                <c:pt idx="20">
                  <c:v>582696</c:v>
                </c:pt>
                <c:pt idx="21">
                  <c:v>582765</c:v>
                </c:pt>
                <c:pt idx="22">
                  <c:v>582776</c:v>
                </c:pt>
                <c:pt idx="23">
                  <c:v>582786</c:v>
                </c:pt>
                <c:pt idx="24">
                  <c:v>582774</c:v>
                </c:pt>
                <c:pt idx="25">
                  <c:v>582786</c:v>
                </c:pt>
                <c:pt idx="26">
                  <c:v>582788</c:v>
                </c:pt>
                <c:pt idx="27">
                  <c:v>582766</c:v>
                </c:pt>
                <c:pt idx="28">
                  <c:v>582776</c:v>
                </c:pt>
                <c:pt idx="29">
                  <c:v>582758</c:v>
                </c:pt>
                <c:pt idx="30">
                  <c:v>582755</c:v>
                </c:pt>
                <c:pt idx="31">
                  <c:v>582835</c:v>
                </c:pt>
                <c:pt idx="32">
                  <c:v>582825</c:v>
                </c:pt>
                <c:pt idx="33">
                  <c:v>582830</c:v>
                </c:pt>
                <c:pt idx="34">
                  <c:v>582820</c:v>
                </c:pt>
                <c:pt idx="35">
                  <c:v>582824</c:v>
                </c:pt>
                <c:pt idx="36">
                  <c:v>582813</c:v>
                </c:pt>
                <c:pt idx="37">
                  <c:v>582829</c:v>
                </c:pt>
                <c:pt idx="38">
                  <c:v>582845</c:v>
                </c:pt>
                <c:pt idx="39">
                  <c:v>582796</c:v>
                </c:pt>
                <c:pt idx="40">
                  <c:v>582840</c:v>
                </c:pt>
                <c:pt idx="41">
                  <c:v>582845.05923999997</c:v>
                </c:pt>
              </c:numCache>
            </c:numRef>
          </c:xVal>
          <c:yVal>
            <c:numRef>
              <c:f>'40'!$Q$51:$BF$51</c:f>
              <c:numCache>
                <c:formatCode>General</c:formatCode>
                <c:ptCount val="42"/>
                <c:pt idx="0">
                  <c:v>600914.80507</c:v>
                </c:pt>
                <c:pt idx="1">
                  <c:v>600948</c:v>
                </c:pt>
                <c:pt idx="2">
                  <c:v>600926</c:v>
                </c:pt>
                <c:pt idx="3">
                  <c:v>600948</c:v>
                </c:pt>
                <c:pt idx="4">
                  <c:v>600925</c:v>
                </c:pt>
                <c:pt idx="5">
                  <c:v>600955</c:v>
                </c:pt>
                <c:pt idx="6">
                  <c:v>600942</c:v>
                </c:pt>
                <c:pt idx="7">
                  <c:v>600927</c:v>
                </c:pt>
                <c:pt idx="8">
                  <c:v>600917</c:v>
                </c:pt>
                <c:pt idx="9">
                  <c:v>600928</c:v>
                </c:pt>
                <c:pt idx="10">
                  <c:v>600956</c:v>
                </c:pt>
                <c:pt idx="11">
                  <c:v>600950</c:v>
                </c:pt>
                <c:pt idx="12">
                  <c:v>600948</c:v>
                </c:pt>
                <c:pt idx="13">
                  <c:v>600922</c:v>
                </c:pt>
                <c:pt idx="14">
                  <c:v>600938</c:v>
                </c:pt>
                <c:pt idx="15">
                  <c:v>600944</c:v>
                </c:pt>
                <c:pt idx="16">
                  <c:v>600952</c:v>
                </c:pt>
                <c:pt idx="17">
                  <c:v>600923</c:v>
                </c:pt>
                <c:pt idx="18">
                  <c:v>600917</c:v>
                </c:pt>
                <c:pt idx="19">
                  <c:v>600951</c:v>
                </c:pt>
                <c:pt idx="20">
                  <c:v>600939</c:v>
                </c:pt>
                <c:pt idx="21">
                  <c:v>600944</c:v>
                </c:pt>
                <c:pt idx="22">
                  <c:v>600918</c:v>
                </c:pt>
                <c:pt idx="23">
                  <c:v>600915</c:v>
                </c:pt>
                <c:pt idx="24">
                  <c:v>600913</c:v>
                </c:pt>
                <c:pt idx="25">
                  <c:v>600936</c:v>
                </c:pt>
                <c:pt idx="26">
                  <c:v>600943</c:v>
                </c:pt>
                <c:pt idx="27">
                  <c:v>600916</c:v>
                </c:pt>
                <c:pt idx="28">
                  <c:v>600941</c:v>
                </c:pt>
                <c:pt idx="29">
                  <c:v>600912</c:v>
                </c:pt>
                <c:pt idx="30">
                  <c:v>600932</c:v>
                </c:pt>
                <c:pt idx="31">
                  <c:v>600918</c:v>
                </c:pt>
                <c:pt idx="32">
                  <c:v>600933</c:v>
                </c:pt>
                <c:pt idx="33">
                  <c:v>600932</c:v>
                </c:pt>
                <c:pt idx="34">
                  <c:v>600920</c:v>
                </c:pt>
                <c:pt idx="35">
                  <c:v>600914</c:v>
                </c:pt>
                <c:pt idx="36">
                  <c:v>600940</c:v>
                </c:pt>
                <c:pt idx="37">
                  <c:v>600942</c:v>
                </c:pt>
                <c:pt idx="38">
                  <c:v>600911</c:v>
                </c:pt>
                <c:pt idx="39">
                  <c:v>600912</c:v>
                </c:pt>
                <c:pt idx="40">
                  <c:v>600941</c:v>
                </c:pt>
                <c:pt idx="41">
                  <c:v>600904.26309000002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742-49A9-AF94-56EB2C47BA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5214640"/>
        <c:axId val="375215032"/>
      </c:scatterChart>
      <c:valAx>
        <c:axId val="375214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215032"/>
        <c:crosses val="autoZero"/>
        <c:crossBetween val="midCat"/>
      </c:valAx>
      <c:valAx>
        <c:axId val="375215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214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jpg"/><Relationship Id="rId1" Type="http://schemas.openxmlformats.org/officeDocument/2006/relationships/chart" Target="../charts/chart1.xml"/><Relationship Id="rId4" Type="http://schemas.openxmlformats.org/officeDocument/2006/relationships/image" Target="../media/image3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36698</xdr:colOff>
      <xdr:row>1</xdr:row>
      <xdr:rowOff>6343</xdr:rowOff>
    </xdr:from>
    <xdr:to>
      <xdr:col>13</xdr:col>
      <xdr:colOff>844550</xdr:colOff>
      <xdr:row>23</xdr:row>
      <xdr:rowOff>381000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4</xdr:col>
      <xdr:colOff>114300</xdr:colOff>
      <xdr:row>17</xdr:row>
      <xdr:rowOff>12700</xdr:rowOff>
    </xdr:from>
    <xdr:to>
      <xdr:col>4</xdr:col>
      <xdr:colOff>349250</xdr:colOff>
      <xdr:row>18</xdr:row>
      <xdr:rowOff>139700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892300" y="2959100"/>
          <a:ext cx="234950" cy="311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IE" sz="2000" b="1">
              <a:solidFill>
                <a:srgbClr val="0070C0"/>
              </a:solidFill>
              <a:latin typeface="+mn-lt"/>
              <a:ea typeface="+mn-ea"/>
              <a:cs typeface="+mn-cs"/>
            </a:rPr>
            <a:t>A</a:t>
          </a:r>
        </a:p>
      </xdr:txBody>
    </xdr:sp>
    <xdr:clientData/>
  </xdr:twoCellAnchor>
  <xdr:twoCellAnchor>
    <xdr:from>
      <xdr:col>4</xdr:col>
      <xdr:colOff>107950</xdr:colOff>
      <xdr:row>3</xdr:row>
      <xdr:rowOff>50800</xdr:rowOff>
    </xdr:from>
    <xdr:to>
      <xdr:col>4</xdr:col>
      <xdr:colOff>342900</xdr:colOff>
      <xdr:row>4</xdr:row>
      <xdr:rowOff>177800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1911350" y="419100"/>
          <a:ext cx="234950" cy="311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E" sz="2000" b="1">
              <a:solidFill>
                <a:srgbClr val="0070C0"/>
              </a:solidFill>
            </a:rPr>
            <a:t>B</a:t>
          </a:r>
        </a:p>
      </xdr:txBody>
    </xdr:sp>
    <xdr:clientData/>
  </xdr:twoCellAnchor>
  <xdr:twoCellAnchor>
    <xdr:from>
      <xdr:col>12</xdr:col>
      <xdr:colOff>12700</xdr:colOff>
      <xdr:row>6</xdr:row>
      <xdr:rowOff>98071</xdr:rowOff>
    </xdr:from>
    <xdr:to>
      <xdr:col>12</xdr:col>
      <xdr:colOff>248355</xdr:colOff>
      <xdr:row>8</xdr:row>
      <xdr:rowOff>40921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7048500" y="1018821"/>
          <a:ext cx="235655" cy="311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E" sz="2000" b="1">
              <a:solidFill>
                <a:srgbClr val="0070C0"/>
              </a:solidFill>
            </a:rPr>
            <a:t>C</a:t>
          </a:r>
        </a:p>
      </xdr:txBody>
    </xdr:sp>
    <xdr:clientData/>
  </xdr:twoCellAnchor>
  <xdr:twoCellAnchor>
    <xdr:from>
      <xdr:col>12</xdr:col>
      <xdr:colOff>15381</xdr:colOff>
      <xdr:row>20</xdr:row>
      <xdr:rowOff>120368</xdr:rowOff>
    </xdr:from>
    <xdr:to>
      <xdr:col>12</xdr:col>
      <xdr:colOff>358281</xdr:colOff>
      <xdr:row>22</xdr:row>
      <xdr:rowOff>63923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10607181" y="6277328"/>
          <a:ext cx="342900" cy="5531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IE" sz="2000" b="1">
              <a:solidFill>
                <a:srgbClr val="0070C0"/>
              </a:solidFill>
              <a:latin typeface="+mn-lt"/>
              <a:ea typeface="+mn-ea"/>
              <a:cs typeface="+mn-cs"/>
            </a:rPr>
            <a:t>D</a:t>
          </a:r>
        </a:p>
      </xdr:txBody>
    </xdr:sp>
    <xdr:clientData/>
  </xdr:twoCellAnchor>
  <xdr:twoCellAnchor editAs="oneCell">
    <xdr:from>
      <xdr:col>1</xdr:col>
      <xdr:colOff>132454</xdr:colOff>
      <xdr:row>18</xdr:row>
      <xdr:rowOff>112506</xdr:rowOff>
    </xdr:from>
    <xdr:to>
      <xdr:col>2</xdr:col>
      <xdr:colOff>812800</xdr:colOff>
      <xdr:row>20</xdr:row>
      <xdr:rowOff>117199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054" y="5675106"/>
          <a:ext cx="1899546" cy="667210"/>
        </a:xfrm>
        <a:prstGeom prst="rect">
          <a:avLst/>
        </a:prstGeom>
      </xdr:spPr>
    </xdr:pic>
    <xdr:clientData/>
  </xdr:twoCellAnchor>
  <xdr:twoCellAnchor editAs="oneCell">
    <xdr:from>
      <xdr:col>1</xdr:col>
      <xdr:colOff>53154</xdr:colOff>
      <xdr:row>21</xdr:row>
      <xdr:rowOff>96073</xdr:rowOff>
    </xdr:from>
    <xdr:to>
      <xdr:col>3</xdr:col>
      <xdr:colOff>11565</xdr:colOff>
      <xdr:row>23</xdr:row>
      <xdr:rowOff>156062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378" y="6479494"/>
          <a:ext cx="1980384" cy="649439"/>
        </a:xfrm>
        <a:prstGeom prst="rect">
          <a:avLst/>
        </a:prstGeom>
      </xdr:spPr>
    </xdr:pic>
    <xdr:clientData/>
  </xdr:twoCellAnchor>
  <xdr:twoCellAnchor>
    <xdr:from>
      <xdr:col>1</xdr:col>
      <xdr:colOff>24190</xdr:colOff>
      <xdr:row>0</xdr:row>
      <xdr:rowOff>40486</xdr:rowOff>
    </xdr:from>
    <xdr:to>
      <xdr:col>16</xdr:col>
      <xdr:colOff>861060</xdr:colOff>
      <xdr:row>1</xdr:row>
      <xdr:rowOff>2391</xdr:rowOff>
    </xdr:to>
    <xdr:sp macro="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633790" y="40486"/>
          <a:ext cx="14118530" cy="251465"/>
        </a:xfrm>
        <a:prstGeom prst="roundRect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E" sz="1850" b="0" i="0" cap="none" spc="0">
              <a:ln w="0"/>
              <a:solidFill>
                <a:srgbClr val="0099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echnicBold" panose="00000400000000000000" pitchFamily="2" charset="2"/>
            </a:rPr>
            <a:t> </a:t>
          </a:r>
          <a:r>
            <a:rPr lang="en-IE" sz="1900" b="0" i="0" cap="none" spc="0">
              <a:ln w="0"/>
              <a:solidFill>
                <a:srgbClr val="0099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Grass Measurement Optimisation Tool</a:t>
          </a:r>
        </a:p>
      </xdr:txBody>
    </xdr:sp>
    <xdr:clientData/>
  </xdr:twoCellAnchor>
  <xdr:twoCellAnchor>
    <xdr:from>
      <xdr:col>1</xdr:col>
      <xdr:colOff>320831</xdr:colOff>
      <xdr:row>7</xdr:row>
      <xdr:rowOff>16173</xdr:rowOff>
    </xdr:from>
    <xdr:to>
      <xdr:col>2</xdr:col>
      <xdr:colOff>635307</xdr:colOff>
      <xdr:row>8</xdr:row>
      <xdr:rowOff>286911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914055" y="2355647"/>
          <a:ext cx="1492568" cy="630014"/>
          <a:chOff x="3041953" y="568477"/>
          <a:chExt cx="919238" cy="332619"/>
        </a:xfrm>
      </xdr:grpSpPr>
      <xdr:sp macro="[0]!Reset_Coord2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3041953" y="568477"/>
            <a:ext cx="919238" cy="332619"/>
          </a:xfrm>
          <a:prstGeom prst="roundRect">
            <a:avLst/>
          </a:prstGeom>
          <a:gradFill flip="none" rotWithShape="1">
            <a:gsLst>
              <a:gs pos="0">
                <a:schemeClr val="accent1">
                  <a:shade val="30000"/>
                  <a:satMod val="115000"/>
                </a:schemeClr>
              </a:gs>
              <a:gs pos="50000">
                <a:schemeClr val="accent1">
                  <a:shade val="67500"/>
                  <a:satMod val="115000"/>
                </a:schemeClr>
              </a:gs>
              <a:gs pos="100000">
                <a:schemeClr val="accent1">
                  <a:shade val="100000"/>
                  <a:satMod val="115000"/>
                </a:schemeClr>
              </a:gs>
            </a:gsLst>
            <a:lin ang="27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E" sz="140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[0]!Reset_Coord2" textlink="">
        <xdr:nvSpPr>
          <xdr:cNvPr id="75" name="Rounded Rectangle 74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/>
        </xdr:nvSpPr>
        <xdr:spPr>
          <a:xfrm>
            <a:off x="3120571" y="626685"/>
            <a:ext cx="762002" cy="216202"/>
          </a:xfrm>
          <a:prstGeom prst="roundRect">
            <a:avLst/>
          </a:prstGeom>
          <a:gradFill flip="none" rotWithShape="1">
            <a:gsLst>
              <a:gs pos="0">
                <a:schemeClr val="accent1">
                  <a:shade val="30000"/>
                  <a:satMod val="115000"/>
                </a:schemeClr>
              </a:gs>
              <a:gs pos="50000">
                <a:schemeClr val="accent1">
                  <a:shade val="67500"/>
                  <a:satMod val="115000"/>
                </a:schemeClr>
              </a:gs>
              <a:gs pos="100000">
                <a:schemeClr val="accent1">
                  <a:shade val="100000"/>
                  <a:satMod val="115000"/>
                </a:schemeClr>
              </a:gs>
            </a:gsLst>
            <a:lin ang="135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E" sz="1400" b="1">
                <a:latin typeface="Arial" panose="020B0604020202020204" pitchFamily="34" charset="0"/>
                <a:cs typeface="Arial" panose="020B0604020202020204" pitchFamily="34" charset="0"/>
              </a:rPr>
              <a:t>RESET</a:t>
            </a:r>
          </a:p>
        </xdr:txBody>
      </xdr:sp>
    </xdr:grpSp>
    <xdr:clientData/>
  </xdr:twoCellAnchor>
  <xdr:twoCellAnchor>
    <xdr:from>
      <xdr:col>1</xdr:col>
      <xdr:colOff>320831</xdr:colOff>
      <xdr:row>9</xdr:row>
      <xdr:rowOff>28976</xdr:rowOff>
    </xdr:from>
    <xdr:to>
      <xdr:col>2</xdr:col>
      <xdr:colOff>635307</xdr:colOff>
      <xdr:row>10</xdr:row>
      <xdr:rowOff>301984</xdr:rowOff>
    </xdr:to>
    <xdr:grpSp>
      <xdr:nvGrpSpPr>
        <xdr:cNvPr id="79" name="Group 78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GrpSpPr/>
      </xdr:nvGrpSpPr>
      <xdr:grpSpPr>
        <a:xfrm>
          <a:off x="914055" y="3053581"/>
          <a:ext cx="1492568" cy="615574"/>
          <a:chOff x="3041953" y="568477"/>
          <a:chExt cx="919238" cy="332619"/>
        </a:xfrm>
      </xdr:grpSpPr>
      <xdr:sp macro="[0]!DST1_SelectMap" textlink="">
        <xdr:nvSpPr>
          <xdr:cNvPr id="80" name="Rounded Rectangle 79">
            <a:extLst>
              <a:ext uri="{FF2B5EF4-FFF2-40B4-BE49-F238E27FC236}">
                <a16:creationId xmlns:a16="http://schemas.microsoft.com/office/drawing/2014/main" id="{00000000-0008-0000-0000-000050000000}"/>
              </a:ext>
            </a:extLst>
          </xdr:cNvPr>
          <xdr:cNvSpPr/>
        </xdr:nvSpPr>
        <xdr:spPr>
          <a:xfrm>
            <a:off x="3041953" y="568477"/>
            <a:ext cx="919238" cy="332619"/>
          </a:xfrm>
          <a:prstGeom prst="roundRect">
            <a:avLst/>
          </a:prstGeom>
          <a:gradFill flip="none" rotWithShape="1">
            <a:gsLst>
              <a:gs pos="0">
                <a:schemeClr val="accent1">
                  <a:shade val="30000"/>
                  <a:satMod val="115000"/>
                </a:schemeClr>
              </a:gs>
              <a:gs pos="50000">
                <a:schemeClr val="accent1">
                  <a:shade val="67500"/>
                  <a:satMod val="115000"/>
                </a:schemeClr>
              </a:gs>
              <a:gs pos="100000">
                <a:schemeClr val="accent1">
                  <a:shade val="100000"/>
                  <a:satMod val="115000"/>
                </a:schemeClr>
              </a:gs>
            </a:gsLst>
            <a:lin ang="27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E" sz="140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[0]!DST1_SelectMap" textlink="">
        <xdr:nvSpPr>
          <xdr:cNvPr id="81" name="Rounded Rectangle 80">
            <a:extLst>
              <a:ext uri="{FF2B5EF4-FFF2-40B4-BE49-F238E27FC236}">
                <a16:creationId xmlns:a16="http://schemas.microsoft.com/office/drawing/2014/main" id="{00000000-0008-0000-0000-000051000000}"/>
              </a:ext>
            </a:extLst>
          </xdr:cNvPr>
          <xdr:cNvSpPr/>
        </xdr:nvSpPr>
        <xdr:spPr>
          <a:xfrm>
            <a:off x="3120571" y="626685"/>
            <a:ext cx="762002" cy="216202"/>
          </a:xfrm>
          <a:prstGeom prst="roundRect">
            <a:avLst/>
          </a:prstGeom>
          <a:gradFill flip="none" rotWithShape="1">
            <a:gsLst>
              <a:gs pos="0">
                <a:schemeClr val="accent1">
                  <a:shade val="30000"/>
                  <a:satMod val="115000"/>
                </a:schemeClr>
              </a:gs>
              <a:gs pos="50000">
                <a:schemeClr val="accent1">
                  <a:shade val="67500"/>
                  <a:satMod val="115000"/>
                </a:schemeClr>
              </a:gs>
              <a:gs pos="100000">
                <a:schemeClr val="accent1">
                  <a:shade val="100000"/>
                  <a:satMod val="115000"/>
                </a:schemeClr>
              </a:gs>
            </a:gsLst>
            <a:lin ang="135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E" sz="1400" b="1">
                <a:latin typeface="Arial" panose="020B0604020202020204" pitchFamily="34" charset="0"/>
                <a:cs typeface="Arial" panose="020B0604020202020204" pitchFamily="34" charset="0"/>
              </a:rPr>
              <a:t>MAP</a:t>
            </a:r>
          </a:p>
        </xdr:txBody>
      </xdr:sp>
    </xdr:grpSp>
    <xdr:clientData/>
  </xdr:twoCellAnchor>
  <xdr:twoCellAnchor>
    <xdr:from>
      <xdr:col>1</xdr:col>
      <xdr:colOff>320831</xdr:colOff>
      <xdr:row>11</xdr:row>
      <xdr:rowOff>76148</xdr:rowOff>
    </xdr:from>
    <xdr:to>
      <xdr:col>2</xdr:col>
      <xdr:colOff>635307</xdr:colOff>
      <xdr:row>13</xdr:row>
      <xdr:rowOff>45909</xdr:rowOff>
    </xdr:to>
    <xdr:grpSp>
      <xdr:nvGrpSpPr>
        <xdr:cNvPr id="82" name="Group 8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GrpSpPr/>
      </xdr:nvGrpSpPr>
      <xdr:grpSpPr>
        <a:xfrm>
          <a:off x="914055" y="3777530"/>
          <a:ext cx="1492568" cy="671603"/>
          <a:chOff x="3041953" y="568477"/>
          <a:chExt cx="919238" cy="332619"/>
        </a:xfrm>
      </xdr:grpSpPr>
      <xdr:sp macro="[0]!Sort_Coord.sort_coord" textlink="">
        <xdr:nvSpPr>
          <xdr:cNvPr id="83" name="Rounded Rectangle 82">
            <a:extLst>
              <a:ext uri="{FF2B5EF4-FFF2-40B4-BE49-F238E27FC236}">
                <a16:creationId xmlns:a16="http://schemas.microsoft.com/office/drawing/2014/main" id="{00000000-0008-0000-0000-000053000000}"/>
              </a:ext>
            </a:extLst>
          </xdr:cNvPr>
          <xdr:cNvSpPr/>
        </xdr:nvSpPr>
        <xdr:spPr>
          <a:xfrm>
            <a:off x="3041953" y="568477"/>
            <a:ext cx="919238" cy="332619"/>
          </a:xfrm>
          <a:prstGeom prst="roundRect">
            <a:avLst/>
          </a:prstGeom>
          <a:gradFill flip="none" rotWithShape="1">
            <a:gsLst>
              <a:gs pos="0">
                <a:schemeClr val="accent1">
                  <a:shade val="30000"/>
                  <a:satMod val="115000"/>
                </a:schemeClr>
              </a:gs>
              <a:gs pos="50000">
                <a:schemeClr val="accent1">
                  <a:shade val="67500"/>
                  <a:satMod val="115000"/>
                </a:schemeClr>
              </a:gs>
              <a:gs pos="100000">
                <a:schemeClr val="accent1">
                  <a:shade val="100000"/>
                  <a:satMod val="115000"/>
                </a:schemeClr>
              </a:gs>
            </a:gsLst>
            <a:lin ang="27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E" sz="1400">
              <a:latin typeface="Lucida Sans" panose="020B0602030504020204" pitchFamily="34" charset="0"/>
            </a:endParaRPr>
          </a:p>
        </xdr:txBody>
      </xdr:sp>
      <xdr:sp macro="[0]!Sort_Coord.sort_coord" textlink="">
        <xdr:nvSpPr>
          <xdr:cNvPr id="84" name="Rounded Rectangle 83">
            <a:extLst>
              <a:ext uri="{FF2B5EF4-FFF2-40B4-BE49-F238E27FC236}">
                <a16:creationId xmlns:a16="http://schemas.microsoft.com/office/drawing/2014/main" id="{00000000-0008-0000-0000-000054000000}"/>
              </a:ext>
            </a:extLst>
          </xdr:cNvPr>
          <xdr:cNvSpPr/>
        </xdr:nvSpPr>
        <xdr:spPr>
          <a:xfrm>
            <a:off x="3120571" y="626685"/>
            <a:ext cx="762002" cy="216202"/>
          </a:xfrm>
          <a:prstGeom prst="roundRect">
            <a:avLst/>
          </a:prstGeom>
          <a:gradFill flip="none" rotWithShape="1">
            <a:gsLst>
              <a:gs pos="0">
                <a:schemeClr val="accent1">
                  <a:shade val="30000"/>
                  <a:satMod val="115000"/>
                </a:schemeClr>
              </a:gs>
              <a:gs pos="50000">
                <a:schemeClr val="accent1">
                  <a:shade val="67500"/>
                  <a:satMod val="115000"/>
                </a:schemeClr>
              </a:gs>
              <a:gs pos="100000">
                <a:schemeClr val="accent1">
                  <a:shade val="100000"/>
                  <a:satMod val="115000"/>
                </a:schemeClr>
              </a:gs>
            </a:gsLst>
            <a:lin ang="135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E" sz="1400" b="1">
                <a:latin typeface="Arial" panose="020B0604020202020204" pitchFamily="34" charset="0"/>
                <a:cs typeface="Arial" panose="020B0604020202020204" pitchFamily="34" charset="0"/>
              </a:rPr>
              <a:t>ORDER</a:t>
            </a:r>
          </a:p>
        </xdr:txBody>
      </xdr:sp>
    </xdr:grpSp>
    <xdr:clientData/>
  </xdr:twoCellAnchor>
  <xdr:twoCellAnchor>
    <xdr:from>
      <xdr:col>1</xdr:col>
      <xdr:colOff>320831</xdr:colOff>
      <xdr:row>13</xdr:row>
      <xdr:rowOff>93945</xdr:rowOff>
    </xdr:from>
    <xdr:to>
      <xdr:col>2</xdr:col>
      <xdr:colOff>635307</xdr:colOff>
      <xdr:row>15</xdr:row>
      <xdr:rowOff>65261</xdr:rowOff>
    </xdr:to>
    <xdr:grpSp>
      <xdr:nvGrpSpPr>
        <xdr:cNvPr id="85" name="Group 84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GrpSpPr/>
      </xdr:nvGrpSpPr>
      <xdr:grpSpPr>
        <a:xfrm>
          <a:off x="914055" y="4497169"/>
          <a:ext cx="1492568" cy="714934"/>
          <a:chOff x="3041953" y="568477"/>
          <a:chExt cx="919238" cy="332619"/>
        </a:xfrm>
      </xdr:grpSpPr>
      <xdr:sp macro="[0]!DST1_Optsolver" textlink="">
        <xdr:nvSpPr>
          <xdr:cNvPr id="86" name="Rounded Rectangle 85">
            <a:extLst>
              <a:ext uri="{FF2B5EF4-FFF2-40B4-BE49-F238E27FC236}">
                <a16:creationId xmlns:a16="http://schemas.microsoft.com/office/drawing/2014/main" id="{00000000-0008-0000-0000-000056000000}"/>
              </a:ext>
            </a:extLst>
          </xdr:cNvPr>
          <xdr:cNvSpPr/>
        </xdr:nvSpPr>
        <xdr:spPr>
          <a:xfrm>
            <a:off x="3041953" y="568477"/>
            <a:ext cx="919238" cy="332619"/>
          </a:xfrm>
          <a:prstGeom prst="roundRect">
            <a:avLst/>
          </a:prstGeom>
          <a:gradFill flip="none" rotWithShape="1">
            <a:gsLst>
              <a:gs pos="0">
                <a:schemeClr val="accent1">
                  <a:shade val="30000"/>
                  <a:satMod val="115000"/>
                </a:schemeClr>
              </a:gs>
              <a:gs pos="50000">
                <a:schemeClr val="accent1">
                  <a:shade val="67500"/>
                  <a:satMod val="115000"/>
                </a:schemeClr>
              </a:gs>
              <a:gs pos="100000">
                <a:schemeClr val="accent1">
                  <a:shade val="100000"/>
                  <a:satMod val="115000"/>
                </a:schemeClr>
              </a:gs>
            </a:gsLst>
            <a:lin ang="27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E" sz="140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[0]!DST1_Optsolver" textlink="">
        <xdr:nvSpPr>
          <xdr:cNvPr id="87" name="Rounded Rectangle 86">
            <a:extLst>
              <a:ext uri="{FF2B5EF4-FFF2-40B4-BE49-F238E27FC236}">
                <a16:creationId xmlns:a16="http://schemas.microsoft.com/office/drawing/2014/main" id="{00000000-0008-0000-0000-000057000000}"/>
              </a:ext>
            </a:extLst>
          </xdr:cNvPr>
          <xdr:cNvSpPr/>
        </xdr:nvSpPr>
        <xdr:spPr>
          <a:xfrm>
            <a:off x="3084285" y="626685"/>
            <a:ext cx="843039" cy="216202"/>
          </a:xfrm>
          <a:prstGeom prst="roundRect">
            <a:avLst/>
          </a:prstGeom>
          <a:gradFill flip="none" rotWithShape="1">
            <a:gsLst>
              <a:gs pos="0">
                <a:schemeClr val="accent1">
                  <a:shade val="30000"/>
                  <a:satMod val="115000"/>
                </a:schemeClr>
              </a:gs>
              <a:gs pos="50000">
                <a:schemeClr val="accent1">
                  <a:shade val="67500"/>
                  <a:satMod val="115000"/>
                </a:schemeClr>
              </a:gs>
              <a:gs pos="100000">
                <a:schemeClr val="accent1">
                  <a:shade val="100000"/>
                  <a:satMod val="115000"/>
                </a:schemeClr>
              </a:gs>
            </a:gsLst>
            <a:lin ang="135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E" sz="1400" b="1">
                <a:latin typeface="Arial" panose="020B0604020202020204" pitchFamily="34" charset="0"/>
                <a:cs typeface="Arial" panose="020B0604020202020204" pitchFamily="34" charset="0"/>
              </a:rPr>
              <a:t>OPTIMISE</a:t>
            </a:r>
          </a:p>
        </xdr:txBody>
      </xdr:sp>
    </xdr:grpSp>
    <xdr:clientData/>
  </xdr:twoCellAnchor>
  <xdr:twoCellAnchor>
    <xdr:from>
      <xdr:col>15</xdr:col>
      <xdr:colOff>658578</xdr:colOff>
      <xdr:row>14</xdr:row>
      <xdr:rowOff>104859</xdr:rowOff>
    </xdr:from>
    <xdr:to>
      <xdr:col>16</xdr:col>
      <xdr:colOff>707525</xdr:colOff>
      <xdr:row>16</xdr:row>
      <xdr:rowOff>353175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pSpPr/>
      </xdr:nvGrpSpPr>
      <xdr:grpSpPr>
        <a:xfrm>
          <a:off x="13684433" y="4850648"/>
          <a:ext cx="800921" cy="991935"/>
          <a:chOff x="7171266" y="3011715"/>
          <a:chExt cx="666448" cy="616856"/>
        </a:xfrm>
      </xdr:grpSpPr>
      <xdr:sp macro="[0]!DST1_Optsolver" textlink="">
        <xdr:nvSpPr>
          <xdr:cNvPr id="160" name="Rounded Rectangle 159">
            <a:extLst>
              <a:ext uri="{FF2B5EF4-FFF2-40B4-BE49-F238E27FC236}">
                <a16:creationId xmlns:a16="http://schemas.microsoft.com/office/drawing/2014/main" id="{00000000-0008-0000-0000-0000A0000000}"/>
              </a:ext>
            </a:extLst>
          </xdr:cNvPr>
          <xdr:cNvSpPr/>
        </xdr:nvSpPr>
        <xdr:spPr>
          <a:xfrm>
            <a:off x="7171266" y="3011715"/>
            <a:ext cx="666448" cy="616856"/>
          </a:xfrm>
          <a:prstGeom prst="roundRect">
            <a:avLst/>
          </a:prstGeom>
          <a:gradFill flip="none" rotWithShape="1">
            <a:gsLst>
              <a:gs pos="0">
                <a:schemeClr val="accent1">
                  <a:shade val="30000"/>
                  <a:satMod val="115000"/>
                </a:schemeClr>
              </a:gs>
              <a:gs pos="50000">
                <a:schemeClr val="accent1">
                  <a:shade val="67500"/>
                  <a:satMod val="115000"/>
                </a:schemeClr>
              </a:gs>
              <a:gs pos="100000">
                <a:schemeClr val="accent1">
                  <a:shade val="100000"/>
                  <a:satMod val="115000"/>
                </a:schemeClr>
              </a:gs>
            </a:gsLst>
            <a:lin ang="27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E" sz="110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[0]!Recalc_Error_Anal" textlink="">
        <xdr:nvSpPr>
          <xdr:cNvPr id="161" name="Rounded Rectangle 160">
            <a:extLst>
              <a:ext uri="{FF2B5EF4-FFF2-40B4-BE49-F238E27FC236}">
                <a16:creationId xmlns:a16="http://schemas.microsoft.com/office/drawing/2014/main" id="{00000000-0008-0000-0000-0000A1000000}"/>
              </a:ext>
            </a:extLst>
          </xdr:cNvPr>
          <xdr:cNvSpPr/>
        </xdr:nvSpPr>
        <xdr:spPr>
          <a:xfrm>
            <a:off x="7201957" y="3078388"/>
            <a:ext cx="611204" cy="501801"/>
          </a:xfrm>
          <a:prstGeom prst="roundRect">
            <a:avLst/>
          </a:prstGeom>
          <a:gradFill flip="none" rotWithShape="1">
            <a:gsLst>
              <a:gs pos="0">
                <a:schemeClr val="accent1">
                  <a:shade val="30000"/>
                  <a:satMod val="115000"/>
                </a:schemeClr>
              </a:gs>
              <a:gs pos="50000">
                <a:schemeClr val="accent1">
                  <a:shade val="67500"/>
                  <a:satMod val="115000"/>
                </a:schemeClr>
              </a:gs>
              <a:gs pos="100000">
                <a:schemeClr val="accent1">
                  <a:shade val="100000"/>
                  <a:satMod val="115000"/>
                </a:schemeClr>
              </a:gs>
            </a:gsLst>
            <a:lin ang="135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E" sz="1200" b="1">
                <a:latin typeface="Arial" panose="020B0604020202020204" pitchFamily="34" charset="0"/>
                <a:cs typeface="Arial" panose="020B0604020202020204" pitchFamily="34" charset="0"/>
              </a:rPr>
              <a:t>RE-CALC</a:t>
            </a:r>
          </a:p>
        </xdr:txBody>
      </xdr:sp>
    </xdr:grpSp>
    <xdr:clientData/>
  </xdr:twoCellAnchor>
  <xdr:twoCellAnchor>
    <xdr:from>
      <xdr:col>1</xdr:col>
      <xdr:colOff>320831</xdr:colOff>
      <xdr:row>15</xdr:row>
      <xdr:rowOff>105976</xdr:rowOff>
    </xdr:from>
    <xdr:to>
      <xdr:col>2</xdr:col>
      <xdr:colOff>635307</xdr:colOff>
      <xdr:row>17</xdr:row>
      <xdr:rowOff>77293</xdr:rowOff>
    </xdr:to>
    <xdr:grpSp>
      <xdr:nvGrpSpPr>
        <xdr:cNvPr id="65" name="Group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GrpSpPr/>
      </xdr:nvGrpSpPr>
      <xdr:grpSpPr>
        <a:xfrm>
          <a:off x="914055" y="5252818"/>
          <a:ext cx="1492568" cy="698225"/>
          <a:chOff x="3041953" y="568477"/>
          <a:chExt cx="919238" cy="332619"/>
        </a:xfrm>
      </xdr:grpSpPr>
      <xdr:sp macro="[0]!DST1_Optsolver" textlink="">
        <xdr:nvSpPr>
          <xdr:cNvPr id="66" name="Rounded Rectangle 65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/>
        </xdr:nvSpPr>
        <xdr:spPr>
          <a:xfrm>
            <a:off x="3041953" y="568477"/>
            <a:ext cx="919238" cy="332619"/>
          </a:xfrm>
          <a:prstGeom prst="roundRect">
            <a:avLst/>
          </a:prstGeom>
          <a:gradFill flip="none" rotWithShape="1">
            <a:gsLst>
              <a:gs pos="0">
                <a:schemeClr val="accent1">
                  <a:shade val="30000"/>
                  <a:satMod val="115000"/>
                </a:schemeClr>
              </a:gs>
              <a:gs pos="50000">
                <a:schemeClr val="accent1">
                  <a:shade val="67500"/>
                  <a:satMod val="115000"/>
                </a:schemeClr>
              </a:gs>
              <a:gs pos="100000">
                <a:schemeClr val="accent1">
                  <a:shade val="100000"/>
                  <a:satMod val="115000"/>
                </a:schemeClr>
              </a:gs>
            </a:gsLst>
            <a:lin ang="27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E" sz="1400">
              <a:latin typeface="Lucida Sans" panose="020B0602030504020204" pitchFamily="34" charset="0"/>
            </a:endParaRPr>
          </a:p>
        </xdr:txBody>
      </xdr:sp>
      <xdr:sp macro="[0]!save_Anal" textlink="">
        <xdr:nvSpPr>
          <xdr:cNvPr id="67" name="Rounded Rectangle 66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SpPr/>
        </xdr:nvSpPr>
        <xdr:spPr>
          <a:xfrm>
            <a:off x="3084285" y="626685"/>
            <a:ext cx="843039" cy="216202"/>
          </a:xfrm>
          <a:prstGeom prst="roundRect">
            <a:avLst/>
          </a:prstGeom>
          <a:gradFill flip="none" rotWithShape="1">
            <a:gsLst>
              <a:gs pos="0">
                <a:schemeClr val="accent1">
                  <a:shade val="30000"/>
                  <a:satMod val="115000"/>
                </a:schemeClr>
              </a:gs>
              <a:gs pos="50000">
                <a:schemeClr val="accent1">
                  <a:shade val="67500"/>
                  <a:satMod val="115000"/>
                </a:schemeClr>
              </a:gs>
              <a:gs pos="100000">
                <a:schemeClr val="accent1">
                  <a:shade val="100000"/>
                  <a:satMod val="115000"/>
                </a:schemeClr>
              </a:gs>
            </a:gsLst>
            <a:lin ang="135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E" sz="1400" b="1">
                <a:latin typeface="Arial" panose="020B0604020202020204" pitchFamily="34" charset="0"/>
                <a:cs typeface="Arial" panose="020B0604020202020204" pitchFamily="34" charset="0"/>
              </a:rPr>
              <a:t>SAVE</a:t>
            </a:r>
          </a:p>
        </xdr:txBody>
      </xdr:sp>
    </xdr:grpSp>
    <xdr:clientData/>
  </xdr:twoCellAnchor>
  <xdr:twoCellAnchor editAs="oneCell">
    <xdr:from>
      <xdr:col>1</xdr:col>
      <xdr:colOff>83821</xdr:colOff>
      <xdr:row>1</xdr:row>
      <xdr:rowOff>16992</xdr:rowOff>
    </xdr:from>
    <xdr:to>
      <xdr:col>2</xdr:col>
      <xdr:colOff>822961</xdr:colOff>
      <xdr:row>6</xdr:row>
      <xdr:rowOff>29542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421" y="397992"/>
          <a:ext cx="1958340" cy="1613173"/>
        </a:xfrm>
        <a:prstGeom prst="rect">
          <a:avLst/>
        </a:prstGeom>
      </xdr:spPr>
    </xdr:pic>
    <xdr:clientData/>
  </xdr:twoCellAnchor>
  <xdr:twoCellAnchor>
    <xdr:from>
      <xdr:col>1</xdr:col>
      <xdr:colOff>417746</xdr:colOff>
      <xdr:row>0</xdr:row>
      <xdr:rowOff>130479</xdr:rowOff>
    </xdr:from>
    <xdr:to>
      <xdr:col>1</xdr:col>
      <xdr:colOff>419581</xdr:colOff>
      <xdr:row>0</xdr:row>
      <xdr:rowOff>376358</xdr:rowOff>
    </xdr:to>
    <xdr:cxnSp macro="">
      <xdr:nvCxnSpPr>
        <xdr:cNvPr id="102" name="Straight Connector 101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CxnSpPr/>
      </xdr:nvCxnSpPr>
      <xdr:spPr>
        <a:xfrm>
          <a:off x="1027346" y="130479"/>
          <a:ext cx="1835" cy="245879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219728</xdr:colOff>
      <xdr:row>0</xdr:row>
      <xdr:rowOff>208321</xdr:rowOff>
    </xdr:from>
    <xdr:to>
      <xdr:col>1</xdr:col>
      <xdr:colOff>223397</xdr:colOff>
      <xdr:row>0</xdr:row>
      <xdr:rowOff>380874</xdr:rowOff>
    </xdr:to>
    <xdr:cxnSp macro="">
      <xdr:nvCxnSpPr>
        <xdr:cNvPr id="103" name="Straight Connector 102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CxnSpPr/>
      </xdr:nvCxnSpPr>
      <xdr:spPr>
        <a:xfrm>
          <a:off x="829328" y="208321"/>
          <a:ext cx="3669" cy="172553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</xdr:col>
      <xdr:colOff>607066</xdr:colOff>
      <xdr:row>0</xdr:row>
      <xdr:rowOff>209580</xdr:rowOff>
    </xdr:from>
    <xdr:to>
      <xdr:col>1</xdr:col>
      <xdr:colOff>610735</xdr:colOff>
      <xdr:row>1</xdr:row>
      <xdr:rowOff>1133</xdr:rowOff>
    </xdr:to>
    <xdr:cxnSp macro="">
      <xdr:nvCxnSpPr>
        <xdr:cNvPr id="104" name="Straight Connector 103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CxnSpPr/>
      </xdr:nvCxnSpPr>
      <xdr:spPr>
        <a:xfrm>
          <a:off x="1216666" y="209580"/>
          <a:ext cx="3669" cy="172553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806366</xdr:colOff>
      <xdr:row>0</xdr:row>
      <xdr:rowOff>122859</xdr:rowOff>
    </xdr:from>
    <xdr:to>
      <xdr:col>1</xdr:col>
      <xdr:colOff>808201</xdr:colOff>
      <xdr:row>0</xdr:row>
      <xdr:rowOff>368738</xdr:rowOff>
    </xdr:to>
    <xdr:cxnSp macro="">
      <xdr:nvCxnSpPr>
        <xdr:cNvPr id="105" name="Straight Connector 104">
          <a:extLs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CxnSpPr/>
      </xdr:nvCxnSpPr>
      <xdr:spPr>
        <a:xfrm>
          <a:off x="1415966" y="122859"/>
          <a:ext cx="1835" cy="245879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</xdr:col>
      <xdr:colOff>995686</xdr:colOff>
      <xdr:row>0</xdr:row>
      <xdr:rowOff>201960</xdr:rowOff>
    </xdr:from>
    <xdr:to>
      <xdr:col>1</xdr:col>
      <xdr:colOff>999355</xdr:colOff>
      <xdr:row>0</xdr:row>
      <xdr:rowOff>374513</xdr:rowOff>
    </xdr:to>
    <xdr:cxnSp macro="">
      <xdr:nvCxnSpPr>
        <xdr:cNvPr id="107" name="Straight Connector 106">
          <a:extLs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CxnSpPr/>
      </xdr:nvCxnSpPr>
      <xdr:spPr>
        <a:xfrm>
          <a:off x="1605286" y="201960"/>
          <a:ext cx="3669" cy="172553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1194986</xdr:colOff>
      <xdr:row>0</xdr:row>
      <xdr:rowOff>130479</xdr:rowOff>
    </xdr:from>
    <xdr:to>
      <xdr:col>1</xdr:col>
      <xdr:colOff>1196821</xdr:colOff>
      <xdr:row>0</xdr:row>
      <xdr:rowOff>376358</xdr:rowOff>
    </xdr:to>
    <xdr:cxnSp macro="">
      <xdr:nvCxnSpPr>
        <xdr:cNvPr id="108" name="Straight Connector 107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CxnSpPr/>
      </xdr:nvCxnSpPr>
      <xdr:spPr>
        <a:xfrm>
          <a:off x="1804586" y="130479"/>
          <a:ext cx="1835" cy="245879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2</xdr:col>
      <xdr:colOff>165106</xdr:colOff>
      <xdr:row>0</xdr:row>
      <xdr:rowOff>209580</xdr:rowOff>
    </xdr:from>
    <xdr:to>
      <xdr:col>2</xdr:col>
      <xdr:colOff>168775</xdr:colOff>
      <xdr:row>1</xdr:row>
      <xdr:rowOff>1133</xdr:rowOff>
    </xdr:to>
    <xdr:cxnSp macro="">
      <xdr:nvCxnSpPr>
        <xdr:cNvPr id="110" name="Straight Connector 109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CxnSpPr/>
      </xdr:nvCxnSpPr>
      <xdr:spPr>
        <a:xfrm>
          <a:off x="1993906" y="209580"/>
          <a:ext cx="3669" cy="172553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364406</xdr:colOff>
      <xdr:row>0</xdr:row>
      <xdr:rowOff>122859</xdr:rowOff>
    </xdr:from>
    <xdr:to>
      <xdr:col>2</xdr:col>
      <xdr:colOff>366241</xdr:colOff>
      <xdr:row>0</xdr:row>
      <xdr:rowOff>368738</xdr:rowOff>
    </xdr:to>
    <xdr:cxnSp macro="">
      <xdr:nvCxnSpPr>
        <xdr:cNvPr id="111" name="Straight Connector 110">
          <a:extLs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CxnSpPr/>
      </xdr:nvCxnSpPr>
      <xdr:spPr>
        <a:xfrm>
          <a:off x="2193206" y="122859"/>
          <a:ext cx="1835" cy="245879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2</xdr:col>
      <xdr:colOff>553726</xdr:colOff>
      <xdr:row>0</xdr:row>
      <xdr:rowOff>201960</xdr:rowOff>
    </xdr:from>
    <xdr:to>
      <xdr:col>2</xdr:col>
      <xdr:colOff>557395</xdr:colOff>
      <xdr:row>0</xdr:row>
      <xdr:rowOff>374513</xdr:rowOff>
    </xdr:to>
    <xdr:cxnSp macro="">
      <xdr:nvCxnSpPr>
        <xdr:cNvPr id="113" name="Straight Connector 112">
          <a:extLs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CxnSpPr/>
      </xdr:nvCxnSpPr>
      <xdr:spPr>
        <a:xfrm>
          <a:off x="2382526" y="201960"/>
          <a:ext cx="3669" cy="172553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2</xdr:col>
      <xdr:colOff>753026</xdr:colOff>
      <xdr:row>0</xdr:row>
      <xdr:rowOff>122859</xdr:rowOff>
    </xdr:from>
    <xdr:to>
      <xdr:col>2</xdr:col>
      <xdr:colOff>754861</xdr:colOff>
      <xdr:row>0</xdr:row>
      <xdr:rowOff>368738</xdr:rowOff>
    </xdr:to>
    <xdr:cxnSp macro="">
      <xdr:nvCxnSpPr>
        <xdr:cNvPr id="114" name="Straight Connector 113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CxnSpPr/>
      </xdr:nvCxnSpPr>
      <xdr:spPr>
        <a:xfrm>
          <a:off x="2581826" y="122859"/>
          <a:ext cx="1835" cy="245879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66046</xdr:colOff>
      <xdr:row>0</xdr:row>
      <xdr:rowOff>201960</xdr:rowOff>
    </xdr:from>
    <xdr:to>
      <xdr:col>3</xdr:col>
      <xdr:colOff>69715</xdr:colOff>
      <xdr:row>0</xdr:row>
      <xdr:rowOff>374513</xdr:rowOff>
    </xdr:to>
    <xdr:cxnSp macro="">
      <xdr:nvCxnSpPr>
        <xdr:cNvPr id="116" name="Straight Connector 115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CxnSpPr/>
      </xdr:nvCxnSpPr>
      <xdr:spPr>
        <a:xfrm>
          <a:off x="2771146" y="201960"/>
          <a:ext cx="3669" cy="172553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265346</xdr:colOff>
      <xdr:row>0</xdr:row>
      <xdr:rowOff>130479</xdr:rowOff>
    </xdr:from>
    <xdr:to>
      <xdr:col>3</xdr:col>
      <xdr:colOff>267181</xdr:colOff>
      <xdr:row>0</xdr:row>
      <xdr:rowOff>376358</xdr:rowOff>
    </xdr:to>
    <xdr:cxnSp macro="">
      <xdr:nvCxnSpPr>
        <xdr:cNvPr id="117" name="Straight Connector 116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CxnSpPr/>
      </xdr:nvCxnSpPr>
      <xdr:spPr>
        <a:xfrm>
          <a:off x="2970446" y="130479"/>
          <a:ext cx="1835" cy="245879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67328</xdr:colOff>
      <xdr:row>0</xdr:row>
      <xdr:rowOff>208321</xdr:rowOff>
    </xdr:from>
    <xdr:to>
      <xdr:col>3</xdr:col>
      <xdr:colOff>70997</xdr:colOff>
      <xdr:row>0</xdr:row>
      <xdr:rowOff>380874</xdr:rowOff>
    </xdr:to>
    <xdr:cxnSp macro="">
      <xdr:nvCxnSpPr>
        <xdr:cNvPr id="118" name="Straight Connector 117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CxnSpPr/>
      </xdr:nvCxnSpPr>
      <xdr:spPr>
        <a:xfrm>
          <a:off x="2772428" y="208321"/>
          <a:ext cx="3669" cy="172553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454666</xdr:colOff>
      <xdr:row>0</xdr:row>
      <xdr:rowOff>209580</xdr:rowOff>
    </xdr:from>
    <xdr:to>
      <xdr:col>3</xdr:col>
      <xdr:colOff>458335</xdr:colOff>
      <xdr:row>1</xdr:row>
      <xdr:rowOff>1133</xdr:rowOff>
    </xdr:to>
    <xdr:cxnSp macro="">
      <xdr:nvCxnSpPr>
        <xdr:cNvPr id="119" name="Straight Connector 118">
          <a:extLs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CxnSpPr/>
      </xdr:nvCxnSpPr>
      <xdr:spPr>
        <a:xfrm>
          <a:off x="3159766" y="209580"/>
          <a:ext cx="3669" cy="172553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653966</xdr:colOff>
      <xdr:row>0</xdr:row>
      <xdr:rowOff>122859</xdr:rowOff>
    </xdr:from>
    <xdr:to>
      <xdr:col>3</xdr:col>
      <xdr:colOff>655801</xdr:colOff>
      <xdr:row>0</xdr:row>
      <xdr:rowOff>368738</xdr:rowOff>
    </xdr:to>
    <xdr:cxnSp macro="">
      <xdr:nvCxnSpPr>
        <xdr:cNvPr id="120" name="Straight Connector 119">
          <a:extLst>
            <a:ext uri="{FF2B5EF4-FFF2-40B4-BE49-F238E27FC236}">
              <a16:creationId xmlns:a16="http://schemas.microsoft.com/office/drawing/2014/main" id="{00000000-0008-0000-0000-000078000000}"/>
            </a:ext>
          </a:extLst>
        </xdr:cNvPr>
        <xdr:cNvCxnSpPr/>
      </xdr:nvCxnSpPr>
      <xdr:spPr>
        <a:xfrm>
          <a:off x="3359066" y="122859"/>
          <a:ext cx="1835" cy="245879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843286</xdr:colOff>
      <xdr:row>0</xdr:row>
      <xdr:rowOff>201960</xdr:rowOff>
    </xdr:from>
    <xdr:to>
      <xdr:col>3</xdr:col>
      <xdr:colOff>846955</xdr:colOff>
      <xdr:row>0</xdr:row>
      <xdr:rowOff>374513</xdr:rowOff>
    </xdr:to>
    <xdr:cxnSp macro="">
      <xdr:nvCxnSpPr>
        <xdr:cNvPr id="121" name="Straight Connector 120">
          <a:extLst>
            <a:ext uri="{FF2B5EF4-FFF2-40B4-BE49-F238E27FC236}">
              <a16:creationId xmlns:a16="http://schemas.microsoft.com/office/drawing/2014/main" id="{00000000-0008-0000-0000-000079000000}"/>
            </a:ext>
          </a:extLst>
        </xdr:cNvPr>
        <xdr:cNvCxnSpPr/>
      </xdr:nvCxnSpPr>
      <xdr:spPr>
        <a:xfrm>
          <a:off x="3548386" y="201960"/>
          <a:ext cx="3669" cy="172553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166286</xdr:colOff>
      <xdr:row>0</xdr:row>
      <xdr:rowOff>130479</xdr:rowOff>
    </xdr:from>
    <xdr:to>
      <xdr:col>4</xdr:col>
      <xdr:colOff>168121</xdr:colOff>
      <xdr:row>0</xdr:row>
      <xdr:rowOff>376358</xdr:rowOff>
    </xdr:to>
    <xdr:cxnSp macro="">
      <xdr:nvCxnSpPr>
        <xdr:cNvPr id="122" name="Straight Connector 121">
          <a:extLs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CxnSpPr/>
      </xdr:nvCxnSpPr>
      <xdr:spPr>
        <a:xfrm>
          <a:off x="3747686" y="130479"/>
          <a:ext cx="1835" cy="245879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355606</xdr:colOff>
      <xdr:row>0</xdr:row>
      <xdr:rowOff>209580</xdr:rowOff>
    </xdr:from>
    <xdr:to>
      <xdr:col>4</xdr:col>
      <xdr:colOff>359275</xdr:colOff>
      <xdr:row>1</xdr:row>
      <xdr:rowOff>1133</xdr:rowOff>
    </xdr:to>
    <xdr:cxnSp macro="">
      <xdr:nvCxnSpPr>
        <xdr:cNvPr id="123" name="Straight Connector 122">
          <a:extLs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CxnSpPr/>
      </xdr:nvCxnSpPr>
      <xdr:spPr>
        <a:xfrm>
          <a:off x="3937006" y="209580"/>
          <a:ext cx="3669" cy="172553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4</xdr:col>
      <xdr:colOff>554906</xdr:colOff>
      <xdr:row>0</xdr:row>
      <xdr:rowOff>122859</xdr:rowOff>
    </xdr:from>
    <xdr:to>
      <xdr:col>4</xdr:col>
      <xdr:colOff>556741</xdr:colOff>
      <xdr:row>0</xdr:row>
      <xdr:rowOff>368738</xdr:rowOff>
    </xdr:to>
    <xdr:cxnSp macro="">
      <xdr:nvCxnSpPr>
        <xdr:cNvPr id="124" name="Straight Connector 123">
          <a:extLs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CxnSpPr/>
      </xdr:nvCxnSpPr>
      <xdr:spPr>
        <a:xfrm>
          <a:off x="4136306" y="122859"/>
          <a:ext cx="1835" cy="245879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4</xdr:col>
      <xdr:colOff>744226</xdr:colOff>
      <xdr:row>0</xdr:row>
      <xdr:rowOff>201960</xdr:rowOff>
    </xdr:from>
    <xdr:to>
      <xdr:col>4</xdr:col>
      <xdr:colOff>747895</xdr:colOff>
      <xdr:row>0</xdr:row>
      <xdr:rowOff>374513</xdr:rowOff>
    </xdr:to>
    <xdr:cxnSp macro="">
      <xdr:nvCxnSpPr>
        <xdr:cNvPr id="125" name="Straight Connector 124">
          <a:extLs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CxnSpPr/>
      </xdr:nvCxnSpPr>
      <xdr:spPr>
        <a:xfrm>
          <a:off x="4325626" y="201960"/>
          <a:ext cx="3669" cy="172553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5</xdr:col>
      <xdr:colOff>67226</xdr:colOff>
      <xdr:row>0</xdr:row>
      <xdr:rowOff>122859</xdr:rowOff>
    </xdr:from>
    <xdr:to>
      <xdr:col>5</xdr:col>
      <xdr:colOff>69061</xdr:colOff>
      <xdr:row>0</xdr:row>
      <xdr:rowOff>368738</xdr:rowOff>
    </xdr:to>
    <xdr:cxnSp macro="">
      <xdr:nvCxnSpPr>
        <xdr:cNvPr id="126" name="Straight Connector 125">
          <a:extLs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CxnSpPr/>
      </xdr:nvCxnSpPr>
      <xdr:spPr>
        <a:xfrm>
          <a:off x="4524926" y="122859"/>
          <a:ext cx="1835" cy="245879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256546</xdr:colOff>
      <xdr:row>0</xdr:row>
      <xdr:rowOff>201960</xdr:rowOff>
    </xdr:from>
    <xdr:to>
      <xdr:col>5</xdr:col>
      <xdr:colOff>260215</xdr:colOff>
      <xdr:row>0</xdr:row>
      <xdr:rowOff>374513</xdr:rowOff>
    </xdr:to>
    <xdr:cxnSp macro="">
      <xdr:nvCxnSpPr>
        <xdr:cNvPr id="127" name="Straight Connector 126">
          <a:extLs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CxnSpPr/>
      </xdr:nvCxnSpPr>
      <xdr:spPr>
        <a:xfrm>
          <a:off x="4714246" y="201960"/>
          <a:ext cx="3669" cy="172553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5</xdr:col>
      <xdr:colOff>455846</xdr:colOff>
      <xdr:row>0</xdr:row>
      <xdr:rowOff>122859</xdr:rowOff>
    </xdr:from>
    <xdr:to>
      <xdr:col>5</xdr:col>
      <xdr:colOff>457681</xdr:colOff>
      <xdr:row>0</xdr:row>
      <xdr:rowOff>368738</xdr:rowOff>
    </xdr:to>
    <xdr:cxnSp macro="">
      <xdr:nvCxnSpPr>
        <xdr:cNvPr id="128" name="Straight Connector 127">
          <a:extLst>
            <a:ext uri="{FF2B5EF4-FFF2-40B4-BE49-F238E27FC236}">
              <a16:creationId xmlns:a16="http://schemas.microsoft.com/office/drawing/2014/main" id="{00000000-0008-0000-0000-000080000000}"/>
            </a:ext>
          </a:extLst>
        </xdr:cNvPr>
        <xdr:cNvCxnSpPr/>
      </xdr:nvCxnSpPr>
      <xdr:spPr>
        <a:xfrm>
          <a:off x="4913546" y="122859"/>
          <a:ext cx="1835" cy="245879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257828</xdr:colOff>
      <xdr:row>0</xdr:row>
      <xdr:rowOff>200701</xdr:rowOff>
    </xdr:from>
    <xdr:to>
      <xdr:col>5</xdr:col>
      <xdr:colOff>261497</xdr:colOff>
      <xdr:row>0</xdr:row>
      <xdr:rowOff>373254</xdr:rowOff>
    </xdr:to>
    <xdr:cxnSp macro="">
      <xdr:nvCxnSpPr>
        <xdr:cNvPr id="129" name="Straight Connector 128">
          <a:extLst>
            <a:ext uri="{FF2B5EF4-FFF2-40B4-BE49-F238E27FC236}">
              <a16:creationId xmlns:a16="http://schemas.microsoft.com/office/drawing/2014/main" id="{00000000-0008-0000-0000-000081000000}"/>
            </a:ext>
          </a:extLst>
        </xdr:cNvPr>
        <xdr:cNvCxnSpPr/>
      </xdr:nvCxnSpPr>
      <xdr:spPr>
        <a:xfrm>
          <a:off x="4715528" y="200701"/>
          <a:ext cx="3669" cy="172553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5</xdr:col>
      <xdr:colOff>645166</xdr:colOff>
      <xdr:row>0</xdr:row>
      <xdr:rowOff>201960</xdr:rowOff>
    </xdr:from>
    <xdr:to>
      <xdr:col>5</xdr:col>
      <xdr:colOff>648835</xdr:colOff>
      <xdr:row>0</xdr:row>
      <xdr:rowOff>374513</xdr:rowOff>
    </xdr:to>
    <xdr:cxnSp macro="">
      <xdr:nvCxnSpPr>
        <xdr:cNvPr id="131" name="Straight Connector 130">
          <a:extLst>
            <a:ext uri="{FF2B5EF4-FFF2-40B4-BE49-F238E27FC236}">
              <a16:creationId xmlns:a16="http://schemas.microsoft.com/office/drawing/2014/main" id="{00000000-0008-0000-0000-000083000000}"/>
            </a:ext>
          </a:extLst>
        </xdr:cNvPr>
        <xdr:cNvCxnSpPr/>
      </xdr:nvCxnSpPr>
      <xdr:spPr>
        <a:xfrm>
          <a:off x="5102866" y="201960"/>
          <a:ext cx="3669" cy="172553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5</xdr:col>
      <xdr:colOff>844466</xdr:colOff>
      <xdr:row>0</xdr:row>
      <xdr:rowOff>115239</xdr:rowOff>
    </xdr:from>
    <xdr:to>
      <xdr:col>5</xdr:col>
      <xdr:colOff>846301</xdr:colOff>
      <xdr:row>0</xdr:row>
      <xdr:rowOff>361118</xdr:rowOff>
    </xdr:to>
    <xdr:cxnSp macro="">
      <xdr:nvCxnSpPr>
        <xdr:cNvPr id="132" name="Straight Connector 13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CxnSpPr/>
      </xdr:nvCxnSpPr>
      <xdr:spPr>
        <a:xfrm>
          <a:off x="5302166" y="115239"/>
          <a:ext cx="1835" cy="245879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157486</xdr:colOff>
      <xdr:row>0</xdr:row>
      <xdr:rowOff>194340</xdr:rowOff>
    </xdr:from>
    <xdr:to>
      <xdr:col>6</xdr:col>
      <xdr:colOff>161155</xdr:colOff>
      <xdr:row>0</xdr:row>
      <xdr:rowOff>366893</xdr:rowOff>
    </xdr:to>
    <xdr:cxnSp macro="">
      <xdr:nvCxnSpPr>
        <xdr:cNvPr id="133" name="Straight Connector 132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CxnSpPr/>
      </xdr:nvCxnSpPr>
      <xdr:spPr>
        <a:xfrm>
          <a:off x="5491486" y="194340"/>
          <a:ext cx="3669" cy="172553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6</xdr:col>
      <xdr:colOff>356786</xdr:colOff>
      <xdr:row>0</xdr:row>
      <xdr:rowOff>122859</xdr:rowOff>
    </xdr:from>
    <xdr:to>
      <xdr:col>6</xdr:col>
      <xdr:colOff>358621</xdr:colOff>
      <xdr:row>0</xdr:row>
      <xdr:rowOff>368738</xdr:rowOff>
    </xdr:to>
    <xdr:cxnSp macro="">
      <xdr:nvCxnSpPr>
        <xdr:cNvPr id="134" name="Straight Connector 133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CxnSpPr/>
      </xdr:nvCxnSpPr>
      <xdr:spPr>
        <a:xfrm>
          <a:off x="5690786" y="122859"/>
          <a:ext cx="1835" cy="245879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439426</xdr:colOff>
      <xdr:row>0</xdr:row>
      <xdr:rowOff>201960</xdr:rowOff>
    </xdr:from>
    <xdr:to>
      <xdr:col>11</xdr:col>
      <xdr:colOff>443095</xdr:colOff>
      <xdr:row>0</xdr:row>
      <xdr:rowOff>374513</xdr:rowOff>
    </xdr:to>
    <xdr:cxnSp macro="">
      <xdr:nvCxnSpPr>
        <xdr:cNvPr id="175" name="Straight Connector 174">
          <a:extLst>
            <a:ext uri="{FF2B5EF4-FFF2-40B4-BE49-F238E27FC236}">
              <a16:creationId xmlns:a16="http://schemas.microsoft.com/office/drawing/2014/main" id="{00000000-0008-0000-0000-0000AF000000}"/>
            </a:ext>
          </a:extLst>
        </xdr:cNvPr>
        <xdr:cNvCxnSpPr/>
      </xdr:nvCxnSpPr>
      <xdr:spPr>
        <a:xfrm>
          <a:off x="10154926" y="201960"/>
          <a:ext cx="3669" cy="172553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638726</xdr:colOff>
      <xdr:row>0</xdr:row>
      <xdr:rowOff>122859</xdr:rowOff>
    </xdr:from>
    <xdr:to>
      <xdr:col>11</xdr:col>
      <xdr:colOff>640561</xdr:colOff>
      <xdr:row>0</xdr:row>
      <xdr:rowOff>368738</xdr:rowOff>
    </xdr:to>
    <xdr:cxnSp macro="">
      <xdr:nvCxnSpPr>
        <xdr:cNvPr id="176" name="Straight Connector 175">
          <a:extLst>
            <a:ext uri="{FF2B5EF4-FFF2-40B4-BE49-F238E27FC236}">
              <a16:creationId xmlns:a16="http://schemas.microsoft.com/office/drawing/2014/main" id="{00000000-0008-0000-0000-0000B0000000}"/>
            </a:ext>
          </a:extLst>
        </xdr:cNvPr>
        <xdr:cNvCxnSpPr/>
      </xdr:nvCxnSpPr>
      <xdr:spPr>
        <a:xfrm>
          <a:off x="10354226" y="122859"/>
          <a:ext cx="1835" cy="245879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828046</xdr:colOff>
      <xdr:row>0</xdr:row>
      <xdr:rowOff>201960</xdr:rowOff>
    </xdr:from>
    <xdr:to>
      <xdr:col>11</xdr:col>
      <xdr:colOff>831715</xdr:colOff>
      <xdr:row>0</xdr:row>
      <xdr:rowOff>374513</xdr:rowOff>
    </xdr:to>
    <xdr:cxnSp macro="">
      <xdr:nvCxnSpPr>
        <xdr:cNvPr id="177" name="Straight Connector 176">
          <a:extLst>
            <a:ext uri="{FF2B5EF4-FFF2-40B4-BE49-F238E27FC236}">
              <a16:creationId xmlns:a16="http://schemas.microsoft.com/office/drawing/2014/main" id="{00000000-0008-0000-0000-0000B1000000}"/>
            </a:ext>
          </a:extLst>
        </xdr:cNvPr>
        <xdr:cNvCxnSpPr/>
      </xdr:nvCxnSpPr>
      <xdr:spPr>
        <a:xfrm>
          <a:off x="10543546" y="201960"/>
          <a:ext cx="3669" cy="172553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151046</xdr:colOff>
      <xdr:row>0</xdr:row>
      <xdr:rowOff>130479</xdr:rowOff>
    </xdr:from>
    <xdr:to>
      <xdr:col>12</xdr:col>
      <xdr:colOff>152881</xdr:colOff>
      <xdr:row>0</xdr:row>
      <xdr:rowOff>376358</xdr:rowOff>
    </xdr:to>
    <xdr:cxnSp macro="">
      <xdr:nvCxnSpPr>
        <xdr:cNvPr id="178" name="Straight Connector 177">
          <a:extLst>
            <a:ext uri="{FF2B5EF4-FFF2-40B4-BE49-F238E27FC236}">
              <a16:creationId xmlns:a16="http://schemas.microsoft.com/office/drawing/2014/main" id="{00000000-0008-0000-0000-0000B2000000}"/>
            </a:ext>
          </a:extLst>
        </xdr:cNvPr>
        <xdr:cNvCxnSpPr/>
      </xdr:nvCxnSpPr>
      <xdr:spPr>
        <a:xfrm>
          <a:off x="10742846" y="130479"/>
          <a:ext cx="1835" cy="245879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829328</xdr:colOff>
      <xdr:row>0</xdr:row>
      <xdr:rowOff>208321</xdr:rowOff>
    </xdr:from>
    <xdr:to>
      <xdr:col>11</xdr:col>
      <xdr:colOff>832997</xdr:colOff>
      <xdr:row>0</xdr:row>
      <xdr:rowOff>380874</xdr:rowOff>
    </xdr:to>
    <xdr:cxnSp macro="">
      <xdr:nvCxnSpPr>
        <xdr:cNvPr id="179" name="Straight Connector 178">
          <a:extLst>
            <a:ext uri="{FF2B5EF4-FFF2-40B4-BE49-F238E27FC236}">
              <a16:creationId xmlns:a16="http://schemas.microsoft.com/office/drawing/2014/main" id="{00000000-0008-0000-0000-0000B3000000}"/>
            </a:ext>
          </a:extLst>
        </xdr:cNvPr>
        <xdr:cNvCxnSpPr/>
      </xdr:nvCxnSpPr>
      <xdr:spPr>
        <a:xfrm>
          <a:off x="10544828" y="208321"/>
          <a:ext cx="3669" cy="172553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340366</xdr:colOff>
      <xdr:row>0</xdr:row>
      <xdr:rowOff>209580</xdr:rowOff>
    </xdr:from>
    <xdr:to>
      <xdr:col>12</xdr:col>
      <xdr:colOff>344035</xdr:colOff>
      <xdr:row>1</xdr:row>
      <xdr:rowOff>1133</xdr:rowOff>
    </xdr:to>
    <xdr:cxnSp macro="">
      <xdr:nvCxnSpPr>
        <xdr:cNvPr id="180" name="Straight Connector 179">
          <a:extLst>
            <a:ext uri="{FF2B5EF4-FFF2-40B4-BE49-F238E27FC236}">
              <a16:creationId xmlns:a16="http://schemas.microsoft.com/office/drawing/2014/main" id="{00000000-0008-0000-0000-0000B4000000}"/>
            </a:ext>
          </a:extLst>
        </xdr:cNvPr>
        <xdr:cNvCxnSpPr/>
      </xdr:nvCxnSpPr>
      <xdr:spPr>
        <a:xfrm>
          <a:off x="10932166" y="209580"/>
          <a:ext cx="3669" cy="172553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539666</xdr:colOff>
      <xdr:row>0</xdr:row>
      <xdr:rowOff>122859</xdr:rowOff>
    </xdr:from>
    <xdr:to>
      <xdr:col>12</xdr:col>
      <xdr:colOff>541501</xdr:colOff>
      <xdr:row>0</xdr:row>
      <xdr:rowOff>368738</xdr:rowOff>
    </xdr:to>
    <xdr:cxnSp macro="">
      <xdr:nvCxnSpPr>
        <xdr:cNvPr id="181" name="Straight Connector 180">
          <a:extLst>
            <a:ext uri="{FF2B5EF4-FFF2-40B4-BE49-F238E27FC236}">
              <a16:creationId xmlns:a16="http://schemas.microsoft.com/office/drawing/2014/main" id="{00000000-0008-0000-0000-0000B5000000}"/>
            </a:ext>
          </a:extLst>
        </xdr:cNvPr>
        <xdr:cNvCxnSpPr/>
      </xdr:nvCxnSpPr>
      <xdr:spPr>
        <a:xfrm>
          <a:off x="11131466" y="122859"/>
          <a:ext cx="1835" cy="245879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12</xdr:col>
      <xdr:colOff>728986</xdr:colOff>
      <xdr:row>0</xdr:row>
      <xdr:rowOff>201960</xdr:rowOff>
    </xdr:from>
    <xdr:to>
      <xdr:col>12</xdr:col>
      <xdr:colOff>732655</xdr:colOff>
      <xdr:row>0</xdr:row>
      <xdr:rowOff>374513</xdr:rowOff>
    </xdr:to>
    <xdr:cxnSp macro="">
      <xdr:nvCxnSpPr>
        <xdr:cNvPr id="182" name="Straight Connector 181">
          <a:extLst>
            <a:ext uri="{FF2B5EF4-FFF2-40B4-BE49-F238E27FC236}">
              <a16:creationId xmlns:a16="http://schemas.microsoft.com/office/drawing/2014/main" id="{00000000-0008-0000-0000-0000B6000000}"/>
            </a:ext>
          </a:extLst>
        </xdr:cNvPr>
        <xdr:cNvCxnSpPr/>
      </xdr:nvCxnSpPr>
      <xdr:spPr>
        <a:xfrm>
          <a:off x="11320786" y="201960"/>
          <a:ext cx="3669" cy="172553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51986</xdr:colOff>
      <xdr:row>0</xdr:row>
      <xdr:rowOff>130479</xdr:rowOff>
    </xdr:from>
    <xdr:to>
      <xdr:col>13</xdr:col>
      <xdr:colOff>53821</xdr:colOff>
      <xdr:row>0</xdr:row>
      <xdr:rowOff>376358</xdr:rowOff>
    </xdr:to>
    <xdr:cxnSp macro="">
      <xdr:nvCxnSpPr>
        <xdr:cNvPr id="183" name="Straight Connector 182">
          <a:extLst>
            <a:ext uri="{FF2B5EF4-FFF2-40B4-BE49-F238E27FC236}">
              <a16:creationId xmlns:a16="http://schemas.microsoft.com/office/drawing/2014/main" id="{00000000-0008-0000-0000-0000B7000000}"/>
            </a:ext>
          </a:extLst>
        </xdr:cNvPr>
        <xdr:cNvCxnSpPr/>
      </xdr:nvCxnSpPr>
      <xdr:spPr>
        <a:xfrm>
          <a:off x="11520086" y="130479"/>
          <a:ext cx="1835" cy="245879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241306</xdr:colOff>
      <xdr:row>0</xdr:row>
      <xdr:rowOff>209580</xdr:rowOff>
    </xdr:from>
    <xdr:to>
      <xdr:col>13</xdr:col>
      <xdr:colOff>244975</xdr:colOff>
      <xdr:row>1</xdr:row>
      <xdr:rowOff>1133</xdr:rowOff>
    </xdr:to>
    <xdr:cxnSp macro="">
      <xdr:nvCxnSpPr>
        <xdr:cNvPr id="184" name="Straight Connector 183">
          <a:extLst>
            <a:ext uri="{FF2B5EF4-FFF2-40B4-BE49-F238E27FC236}">
              <a16:creationId xmlns:a16="http://schemas.microsoft.com/office/drawing/2014/main" id="{00000000-0008-0000-0000-0000B8000000}"/>
            </a:ext>
          </a:extLst>
        </xdr:cNvPr>
        <xdr:cNvCxnSpPr/>
      </xdr:nvCxnSpPr>
      <xdr:spPr>
        <a:xfrm>
          <a:off x="11709406" y="209580"/>
          <a:ext cx="3669" cy="172553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440606</xdr:colOff>
      <xdr:row>0</xdr:row>
      <xdr:rowOff>122859</xdr:rowOff>
    </xdr:from>
    <xdr:to>
      <xdr:col>13</xdr:col>
      <xdr:colOff>442441</xdr:colOff>
      <xdr:row>0</xdr:row>
      <xdr:rowOff>368738</xdr:rowOff>
    </xdr:to>
    <xdr:cxnSp macro="">
      <xdr:nvCxnSpPr>
        <xdr:cNvPr id="185" name="Straight Connector 184">
          <a:extLst>
            <a:ext uri="{FF2B5EF4-FFF2-40B4-BE49-F238E27FC236}">
              <a16:creationId xmlns:a16="http://schemas.microsoft.com/office/drawing/2014/main" id="{00000000-0008-0000-0000-0000B9000000}"/>
            </a:ext>
          </a:extLst>
        </xdr:cNvPr>
        <xdr:cNvCxnSpPr/>
      </xdr:nvCxnSpPr>
      <xdr:spPr>
        <a:xfrm>
          <a:off x="11908706" y="122859"/>
          <a:ext cx="1835" cy="245879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629926</xdr:colOff>
      <xdr:row>0</xdr:row>
      <xdr:rowOff>201960</xdr:rowOff>
    </xdr:from>
    <xdr:to>
      <xdr:col>13</xdr:col>
      <xdr:colOff>633595</xdr:colOff>
      <xdr:row>0</xdr:row>
      <xdr:rowOff>374513</xdr:rowOff>
    </xdr:to>
    <xdr:cxnSp macro="">
      <xdr:nvCxnSpPr>
        <xdr:cNvPr id="186" name="Straight Connector 185">
          <a:extLst>
            <a:ext uri="{FF2B5EF4-FFF2-40B4-BE49-F238E27FC236}">
              <a16:creationId xmlns:a16="http://schemas.microsoft.com/office/drawing/2014/main" id="{00000000-0008-0000-0000-0000BA000000}"/>
            </a:ext>
          </a:extLst>
        </xdr:cNvPr>
        <xdr:cNvCxnSpPr/>
      </xdr:nvCxnSpPr>
      <xdr:spPr>
        <a:xfrm>
          <a:off x="12098026" y="201960"/>
          <a:ext cx="3669" cy="172553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13</xdr:col>
      <xdr:colOff>829226</xdr:colOff>
      <xdr:row>0</xdr:row>
      <xdr:rowOff>122859</xdr:rowOff>
    </xdr:from>
    <xdr:to>
      <xdr:col>13</xdr:col>
      <xdr:colOff>831061</xdr:colOff>
      <xdr:row>0</xdr:row>
      <xdr:rowOff>368738</xdr:rowOff>
    </xdr:to>
    <xdr:cxnSp macro="">
      <xdr:nvCxnSpPr>
        <xdr:cNvPr id="187" name="Straight Connector 186">
          <a:extLst>
            <a:ext uri="{FF2B5EF4-FFF2-40B4-BE49-F238E27FC236}">
              <a16:creationId xmlns:a16="http://schemas.microsoft.com/office/drawing/2014/main" id="{00000000-0008-0000-0000-0000BB000000}"/>
            </a:ext>
          </a:extLst>
        </xdr:cNvPr>
        <xdr:cNvCxnSpPr/>
      </xdr:nvCxnSpPr>
      <xdr:spPr>
        <a:xfrm>
          <a:off x="12297326" y="122859"/>
          <a:ext cx="1835" cy="245879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142246</xdr:colOff>
      <xdr:row>0</xdr:row>
      <xdr:rowOff>201960</xdr:rowOff>
    </xdr:from>
    <xdr:to>
      <xdr:col>14</xdr:col>
      <xdr:colOff>145915</xdr:colOff>
      <xdr:row>0</xdr:row>
      <xdr:rowOff>374513</xdr:rowOff>
    </xdr:to>
    <xdr:cxnSp macro="">
      <xdr:nvCxnSpPr>
        <xdr:cNvPr id="188" name="Straight Connector 187">
          <a:extLst>
            <a:ext uri="{FF2B5EF4-FFF2-40B4-BE49-F238E27FC236}">
              <a16:creationId xmlns:a16="http://schemas.microsoft.com/office/drawing/2014/main" id="{00000000-0008-0000-0000-0000BC000000}"/>
            </a:ext>
          </a:extLst>
        </xdr:cNvPr>
        <xdr:cNvCxnSpPr/>
      </xdr:nvCxnSpPr>
      <xdr:spPr>
        <a:xfrm>
          <a:off x="12486646" y="201960"/>
          <a:ext cx="3669" cy="172553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341546</xdr:colOff>
      <xdr:row>0</xdr:row>
      <xdr:rowOff>130479</xdr:rowOff>
    </xdr:from>
    <xdr:to>
      <xdr:col>14</xdr:col>
      <xdr:colOff>343381</xdr:colOff>
      <xdr:row>0</xdr:row>
      <xdr:rowOff>376358</xdr:rowOff>
    </xdr:to>
    <xdr:cxnSp macro="">
      <xdr:nvCxnSpPr>
        <xdr:cNvPr id="189" name="Straight Connector 188">
          <a:extLst>
            <a:ext uri="{FF2B5EF4-FFF2-40B4-BE49-F238E27FC236}">
              <a16:creationId xmlns:a16="http://schemas.microsoft.com/office/drawing/2014/main" id="{00000000-0008-0000-0000-0000BD000000}"/>
            </a:ext>
          </a:extLst>
        </xdr:cNvPr>
        <xdr:cNvCxnSpPr/>
      </xdr:nvCxnSpPr>
      <xdr:spPr>
        <a:xfrm>
          <a:off x="12685946" y="130479"/>
          <a:ext cx="1835" cy="245879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143528</xdr:colOff>
      <xdr:row>0</xdr:row>
      <xdr:rowOff>208321</xdr:rowOff>
    </xdr:from>
    <xdr:to>
      <xdr:col>14</xdr:col>
      <xdr:colOff>147197</xdr:colOff>
      <xdr:row>0</xdr:row>
      <xdr:rowOff>380874</xdr:rowOff>
    </xdr:to>
    <xdr:cxnSp macro="">
      <xdr:nvCxnSpPr>
        <xdr:cNvPr id="190" name="Straight Connector 189">
          <a:extLst>
            <a:ext uri="{FF2B5EF4-FFF2-40B4-BE49-F238E27FC236}">
              <a16:creationId xmlns:a16="http://schemas.microsoft.com/office/drawing/2014/main" id="{00000000-0008-0000-0000-0000BE000000}"/>
            </a:ext>
          </a:extLst>
        </xdr:cNvPr>
        <xdr:cNvCxnSpPr/>
      </xdr:nvCxnSpPr>
      <xdr:spPr>
        <a:xfrm>
          <a:off x="12487928" y="208321"/>
          <a:ext cx="3669" cy="172553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530866</xdr:colOff>
      <xdr:row>0</xdr:row>
      <xdr:rowOff>209580</xdr:rowOff>
    </xdr:from>
    <xdr:to>
      <xdr:col>14</xdr:col>
      <xdr:colOff>534535</xdr:colOff>
      <xdr:row>1</xdr:row>
      <xdr:rowOff>1133</xdr:rowOff>
    </xdr:to>
    <xdr:cxnSp macro="">
      <xdr:nvCxnSpPr>
        <xdr:cNvPr id="191" name="Straight Connector 190">
          <a:extLst>
            <a:ext uri="{FF2B5EF4-FFF2-40B4-BE49-F238E27FC236}">
              <a16:creationId xmlns:a16="http://schemas.microsoft.com/office/drawing/2014/main" id="{00000000-0008-0000-0000-0000BF000000}"/>
            </a:ext>
          </a:extLst>
        </xdr:cNvPr>
        <xdr:cNvCxnSpPr/>
      </xdr:nvCxnSpPr>
      <xdr:spPr>
        <a:xfrm>
          <a:off x="12875266" y="209580"/>
          <a:ext cx="3669" cy="172553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14</xdr:col>
      <xdr:colOff>730166</xdr:colOff>
      <xdr:row>0</xdr:row>
      <xdr:rowOff>122859</xdr:rowOff>
    </xdr:from>
    <xdr:to>
      <xdr:col>14</xdr:col>
      <xdr:colOff>732001</xdr:colOff>
      <xdr:row>0</xdr:row>
      <xdr:rowOff>368738</xdr:rowOff>
    </xdr:to>
    <xdr:cxnSp macro="">
      <xdr:nvCxnSpPr>
        <xdr:cNvPr id="192" name="Straight Connector 191">
          <a:extLst>
            <a:ext uri="{FF2B5EF4-FFF2-40B4-BE49-F238E27FC236}">
              <a16:creationId xmlns:a16="http://schemas.microsoft.com/office/drawing/2014/main" id="{00000000-0008-0000-0000-0000C0000000}"/>
            </a:ext>
          </a:extLst>
        </xdr:cNvPr>
        <xdr:cNvCxnSpPr/>
      </xdr:nvCxnSpPr>
      <xdr:spPr>
        <a:xfrm>
          <a:off x="13074566" y="122859"/>
          <a:ext cx="1835" cy="245879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43186</xdr:colOff>
      <xdr:row>0</xdr:row>
      <xdr:rowOff>201960</xdr:rowOff>
    </xdr:from>
    <xdr:to>
      <xdr:col>15</xdr:col>
      <xdr:colOff>46855</xdr:colOff>
      <xdr:row>0</xdr:row>
      <xdr:rowOff>374513</xdr:rowOff>
    </xdr:to>
    <xdr:cxnSp macro="">
      <xdr:nvCxnSpPr>
        <xdr:cNvPr id="193" name="Straight Connector 192">
          <a:extLst>
            <a:ext uri="{FF2B5EF4-FFF2-40B4-BE49-F238E27FC236}">
              <a16:creationId xmlns:a16="http://schemas.microsoft.com/office/drawing/2014/main" id="{00000000-0008-0000-0000-0000C1000000}"/>
            </a:ext>
          </a:extLst>
        </xdr:cNvPr>
        <xdr:cNvCxnSpPr/>
      </xdr:nvCxnSpPr>
      <xdr:spPr>
        <a:xfrm>
          <a:off x="13263886" y="201960"/>
          <a:ext cx="3669" cy="172553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242486</xdr:colOff>
      <xdr:row>0</xdr:row>
      <xdr:rowOff>130479</xdr:rowOff>
    </xdr:from>
    <xdr:to>
      <xdr:col>15</xdr:col>
      <xdr:colOff>244321</xdr:colOff>
      <xdr:row>0</xdr:row>
      <xdr:rowOff>376358</xdr:rowOff>
    </xdr:to>
    <xdr:cxnSp macro="">
      <xdr:nvCxnSpPr>
        <xdr:cNvPr id="194" name="Straight Connector 193">
          <a:extLst>
            <a:ext uri="{FF2B5EF4-FFF2-40B4-BE49-F238E27FC236}">
              <a16:creationId xmlns:a16="http://schemas.microsoft.com/office/drawing/2014/main" id="{00000000-0008-0000-0000-0000C2000000}"/>
            </a:ext>
          </a:extLst>
        </xdr:cNvPr>
        <xdr:cNvCxnSpPr/>
      </xdr:nvCxnSpPr>
      <xdr:spPr>
        <a:xfrm>
          <a:off x="13463186" y="130479"/>
          <a:ext cx="1835" cy="245879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431806</xdr:colOff>
      <xdr:row>0</xdr:row>
      <xdr:rowOff>209580</xdr:rowOff>
    </xdr:from>
    <xdr:to>
      <xdr:col>15</xdr:col>
      <xdr:colOff>435475</xdr:colOff>
      <xdr:row>1</xdr:row>
      <xdr:rowOff>1133</xdr:rowOff>
    </xdr:to>
    <xdr:cxnSp macro="">
      <xdr:nvCxnSpPr>
        <xdr:cNvPr id="195" name="Straight Connector 194">
          <a:extLst>
            <a:ext uri="{FF2B5EF4-FFF2-40B4-BE49-F238E27FC236}">
              <a16:creationId xmlns:a16="http://schemas.microsoft.com/office/drawing/2014/main" id="{00000000-0008-0000-0000-0000C3000000}"/>
            </a:ext>
          </a:extLst>
        </xdr:cNvPr>
        <xdr:cNvCxnSpPr/>
      </xdr:nvCxnSpPr>
      <xdr:spPr>
        <a:xfrm>
          <a:off x="13652506" y="209580"/>
          <a:ext cx="3669" cy="172553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631106</xdr:colOff>
      <xdr:row>0</xdr:row>
      <xdr:rowOff>122859</xdr:rowOff>
    </xdr:from>
    <xdr:to>
      <xdr:col>15</xdr:col>
      <xdr:colOff>632941</xdr:colOff>
      <xdr:row>0</xdr:row>
      <xdr:rowOff>368738</xdr:rowOff>
    </xdr:to>
    <xdr:cxnSp macro="">
      <xdr:nvCxnSpPr>
        <xdr:cNvPr id="196" name="Straight Connector 195">
          <a:extLst>
            <a:ext uri="{FF2B5EF4-FFF2-40B4-BE49-F238E27FC236}">
              <a16:creationId xmlns:a16="http://schemas.microsoft.com/office/drawing/2014/main" id="{00000000-0008-0000-0000-0000C4000000}"/>
            </a:ext>
          </a:extLst>
        </xdr:cNvPr>
        <xdr:cNvCxnSpPr/>
      </xdr:nvCxnSpPr>
      <xdr:spPr>
        <a:xfrm>
          <a:off x="13851806" y="122859"/>
          <a:ext cx="1835" cy="245879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15</xdr:col>
      <xdr:colOff>820426</xdr:colOff>
      <xdr:row>0</xdr:row>
      <xdr:rowOff>201960</xdr:rowOff>
    </xdr:from>
    <xdr:to>
      <xdr:col>15</xdr:col>
      <xdr:colOff>824095</xdr:colOff>
      <xdr:row>0</xdr:row>
      <xdr:rowOff>374513</xdr:rowOff>
    </xdr:to>
    <xdr:cxnSp macro="">
      <xdr:nvCxnSpPr>
        <xdr:cNvPr id="197" name="Straight Connector 196">
          <a:extLst>
            <a:ext uri="{FF2B5EF4-FFF2-40B4-BE49-F238E27FC236}">
              <a16:creationId xmlns:a16="http://schemas.microsoft.com/office/drawing/2014/main" id="{00000000-0008-0000-0000-0000C5000000}"/>
            </a:ext>
          </a:extLst>
        </xdr:cNvPr>
        <xdr:cNvCxnSpPr/>
      </xdr:nvCxnSpPr>
      <xdr:spPr>
        <a:xfrm>
          <a:off x="14041126" y="201960"/>
          <a:ext cx="3669" cy="172553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143426</xdr:colOff>
      <xdr:row>0</xdr:row>
      <xdr:rowOff>122859</xdr:rowOff>
    </xdr:from>
    <xdr:to>
      <xdr:col>16</xdr:col>
      <xdr:colOff>145261</xdr:colOff>
      <xdr:row>0</xdr:row>
      <xdr:rowOff>368738</xdr:rowOff>
    </xdr:to>
    <xdr:cxnSp macro="">
      <xdr:nvCxnSpPr>
        <xdr:cNvPr id="198" name="Straight Connector 197">
          <a:extLst>
            <a:ext uri="{FF2B5EF4-FFF2-40B4-BE49-F238E27FC236}">
              <a16:creationId xmlns:a16="http://schemas.microsoft.com/office/drawing/2014/main" id="{00000000-0008-0000-0000-0000C6000000}"/>
            </a:ext>
          </a:extLst>
        </xdr:cNvPr>
        <xdr:cNvCxnSpPr/>
      </xdr:nvCxnSpPr>
      <xdr:spPr>
        <a:xfrm>
          <a:off x="14240426" y="122859"/>
          <a:ext cx="1835" cy="245879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332746</xdr:colOff>
      <xdr:row>0</xdr:row>
      <xdr:rowOff>201960</xdr:rowOff>
    </xdr:from>
    <xdr:to>
      <xdr:col>16</xdr:col>
      <xdr:colOff>336415</xdr:colOff>
      <xdr:row>0</xdr:row>
      <xdr:rowOff>374513</xdr:rowOff>
    </xdr:to>
    <xdr:cxnSp macro="">
      <xdr:nvCxnSpPr>
        <xdr:cNvPr id="199" name="Straight Connector 198">
          <a:extLst>
            <a:ext uri="{FF2B5EF4-FFF2-40B4-BE49-F238E27FC236}">
              <a16:creationId xmlns:a16="http://schemas.microsoft.com/office/drawing/2014/main" id="{00000000-0008-0000-0000-0000C7000000}"/>
            </a:ext>
          </a:extLst>
        </xdr:cNvPr>
        <xdr:cNvCxnSpPr/>
      </xdr:nvCxnSpPr>
      <xdr:spPr>
        <a:xfrm>
          <a:off x="14429746" y="201960"/>
          <a:ext cx="3669" cy="172553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532046</xdr:colOff>
      <xdr:row>0</xdr:row>
      <xdr:rowOff>130479</xdr:rowOff>
    </xdr:from>
    <xdr:to>
      <xdr:col>16</xdr:col>
      <xdr:colOff>533881</xdr:colOff>
      <xdr:row>0</xdr:row>
      <xdr:rowOff>376358</xdr:rowOff>
    </xdr:to>
    <xdr:cxnSp macro="">
      <xdr:nvCxnSpPr>
        <xdr:cNvPr id="200" name="Straight Connector 199">
          <a:extLst>
            <a:ext uri="{FF2B5EF4-FFF2-40B4-BE49-F238E27FC236}">
              <a16:creationId xmlns:a16="http://schemas.microsoft.com/office/drawing/2014/main" id="{00000000-0008-0000-0000-0000C8000000}"/>
            </a:ext>
          </a:extLst>
        </xdr:cNvPr>
        <xdr:cNvCxnSpPr/>
      </xdr:nvCxnSpPr>
      <xdr:spPr>
        <a:xfrm>
          <a:off x="14629046" y="130479"/>
          <a:ext cx="1835" cy="245879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334028</xdr:colOff>
      <xdr:row>0</xdr:row>
      <xdr:rowOff>208321</xdr:rowOff>
    </xdr:from>
    <xdr:to>
      <xdr:col>16</xdr:col>
      <xdr:colOff>337697</xdr:colOff>
      <xdr:row>0</xdr:row>
      <xdr:rowOff>380874</xdr:rowOff>
    </xdr:to>
    <xdr:cxnSp macro="">
      <xdr:nvCxnSpPr>
        <xdr:cNvPr id="201" name="Straight Connector 200">
          <a:extLst>
            <a:ext uri="{FF2B5EF4-FFF2-40B4-BE49-F238E27FC236}">
              <a16:creationId xmlns:a16="http://schemas.microsoft.com/office/drawing/2014/main" id="{00000000-0008-0000-0000-0000C9000000}"/>
            </a:ext>
          </a:extLst>
        </xdr:cNvPr>
        <xdr:cNvCxnSpPr/>
      </xdr:nvCxnSpPr>
      <xdr:spPr>
        <a:xfrm>
          <a:off x="14431028" y="208321"/>
          <a:ext cx="3669" cy="172553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16</xdr:col>
      <xdr:colOff>721366</xdr:colOff>
      <xdr:row>0</xdr:row>
      <xdr:rowOff>209580</xdr:rowOff>
    </xdr:from>
    <xdr:to>
      <xdr:col>16</xdr:col>
      <xdr:colOff>725035</xdr:colOff>
      <xdr:row>1</xdr:row>
      <xdr:rowOff>1133</xdr:rowOff>
    </xdr:to>
    <xdr:cxnSp macro="">
      <xdr:nvCxnSpPr>
        <xdr:cNvPr id="202" name="Straight Connector 201">
          <a:extLst>
            <a:ext uri="{FF2B5EF4-FFF2-40B4-BE49-F238E27FC236}">
              <a16:creationId xmlns:a16="http://schemas.microsoft.com/office/drawing/2014/main" id="{00000000-0008-0000-0000-0000CA000000}"/>
            </a:ext>
          </a:extLst>
        </xdr:cNvPr>
        <xdr:cNvCxnSpPr/>
      </xdr:nvCxnSpPr>
      <xdr:spPr>
        <a:xfrm>
          <a:off x="14818366" y="209580"/>
          <a:ext cx="3669" cy="172553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0.00741</cdr:x>
      <cdr:y>0.08289</cdr:y>
    </cdr:from>
    <cdr:to>
      <cdr:x>0.084</cdr:x>
      <cdr:y>0.13493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51105" y="345929"/>
          <a:ext cx="528443" cy="2172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IE" sz="1100" b="0">
              <a:latin typeface="SansSerif" panose="00000400000000000000" pitchFamily="2" charset="2"/>
            </a:rPr>
            <a:t>N</a:t>
          </a:r>
        </a:p>
      </cdr:txBody>
    </cdr:sp>
  </cdr:relSizeAnchor>
  <cdr:relSizeAnchor xmlns:cdr="http://schemas.openxmlformats.org/drawingml/2006/chartDrawing">
    <cdr:from>
      <cdr:x>0.80653</cdr:x>
      <cdr:y>0.02934</cdr:y>
    </cdr:from>
    <cdr:to>
      <cdr:x>0.98454</cdr:x>
      <cdr:y>0.16996</cdr:y>
    </cdr:to>
    <cdr:sp macro="" textlink="'Map Template'!$L$46">
      <cdr:nvSpPr>
        <cdr:cNvPr id="6" name="Rounded Rectangle 5"/>
        <cdr:cNvSpPr/>
      </cdr:nvSpPr>
      <cdr:spPr>
        <a:xfrm xmlns:a="http://schemas.openxmlformats.org/drawingml/2006/main">
          <a:off x="7768687" y="204754"/>
          <a:ext cx="1714635" cy="981339"/>
        </a:xfrm>
        <a:prstGeom xmlns:a="http://schemas.openxmlformats.org/drawingml/2006/main" prst="roundRect">
          <a:avLst/>
        </a:prstGeom>
        <a:ln xmlns:a="http://schemas.openxmlformats.org/drawingml/2006/main">
          <a:solidFill>
            <a:srgbClr val="0070C0"/>
          </a:solidFill>
        </a:ln>
      </cdr:spPr>
      <cdr:style>
        <a:lnRef xmlns:a="http://schemas.openxmlformats.org/drawingml/2006/main" idx="2">
          <a:schemeClr val="accent6"/>
        </a:lnRef>
        <a:fillRef xmlns:a="http://schemas.openxmlformats.org/drawingml/2006/main" idx="1">
          <a:schemeClr val="lt1"/>
        </a:fillRef>
        <a:effectRef xmlns:a="http://schemas.openxmlformats.org/drawingml/2006/main" idx="0">
          <a:schemeClr val="accent6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fld id="{C77F7C31-5CDB-4DC6-AC66-96EA15795372}" type="TxLink">
            <a:rPr lang="en-US" sz="1400" b="0" i="0" u="none" strike="noStrike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pPr algn="ctr"/>
            <a:t>Paddock 38 C Area = 0.91 Ha RPM Survey</a:t>
          </a:fld>
          <a:endParaRPr lang="en-US" sz="14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0.04577</cdr:x>
      <cdr:y>0.01427</cdr:y>
    </cdr:from>
    <cdr:to>
      <cdr:x>0.04577</cdr:x>
      <cdr:y>0.0887</cdr:y>
    </cdr:to>
    <cdr:cxnSp macro="">
      <cdr:nvCxnSpPr>
        <cdr:cNvPr id="4" name="Straight Arrow Connector 3">
          <a:extLst xmlns:a="http://schemas.openxmlformats.org/drawingml/2006/main">
            <a:ext uri="{FF2B5EF4-FFF2-40B4-BE49-F238E27FC236}">
              <a16:creationId xmlns:a16="http://schemas.microsoft.com/office/drawing/2014/main" id="{261F6690-CE11-475B-88EC-EDBCBB48FEC0}"/>
            </a:ext>
          </a:extLst>
        </cdr:cNvPr>
        <cdr:cNvCxnSpPr/>
      </cdr:nvCxnSpPr>
      <cdr:spPr>
        <a:xfrm xmlns:a="http://schemas.openxmlformats.org/drawingml/2006/main" flipV="1">
          <a:off x="315778" y="59546"/>
          <a:ext cx="2" cy="310661"/>
        </a:xfrm>
        <a:prstGeom xmlns:a="http://schemas.openxmlformats.org/drawingml/2006/main" prst="straightConnector1">
          <a:avLst/>
        </a:prstGeom>
        <a:ln xmlns:a="http://schemas.openxmlformats.org/drawingml/2006/main">
          <a:tailEnd type="triangle"/>
        </a:ln>
      </cdr:spPr>
      <cdr:style>
        <a:lnRef xmlns:a="http://schemas.openxmlformats.org/drawingml/2006/main" idx="1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324971</xdr:colOff>
      <xdr:row>0</xdr:row>
      <xdr:rowOff>1</xdr:rowOff>
    </xdr:from>
    <xdr:to>
      <xdr:col>16</xdr:col>
      <xdr:colOff>379753</xdr:colOff>
      <xdr:row>16</xdr:row>
      <xdr:rowOff>61633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502920</xdr:colOff>
      <xdr:row>2</xdr:row>
      <xdr:rowOff>53339</xdr:rowOff>
    </xdr:from>
    <xdr:to>
      <xdr:col>13</xdr:col>
      <xdr:colOff>22860</xdr:colOff>
      <xdr:row>19</xdr:row>
      <xdr:rowOff>83820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14</xdr:col>
      <xdr:colOff>289560</xdr:colOff>
      <xdr:row>1</xdr:row>
      <xdr:rowOff>30480</xdr:rowOff>
    </xdr:from>
    <xdr:to>
      <xdr:col>20</xdr:col>
      <xdr:colOff>594360</xdr:colOff>
      <xdr:row>14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312420</xdr:colOff>
      <xdr:row>15</xdr:row>
      <xdr:rowOff>103367</xdr:rowOff>
    </xdr:from>
    <xdr:to>
      <xdr:col>21</xdr:col>
      <xdr:colOff>0</xdr:colOff>
      <xdr:row>29</xdr:row>
      <xdr:rowOff>38100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0.00741</cdr:x>
      <cdr:y>0.08289</cdr:y>
    </cdr:from>
    <cdr:to>
      <cdr:x>0.084</cdr:x>
      <cdr:y>0.13493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51105" y="345929"/>
          <a:ext cx="528443" cy="2172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IE" sz="1100" b="0">
              <a:latin typeface="SansSerif" panose="00000400000000000000" pitchFamily="2" charset="2"/>
            </a:rPr>
            <a:t>N</a:t>
          </a:r>
        </a:p>
      </cdr:txBody>
    </cdr:sp>
  </cdr:relSizeAnchor>
  <cdr:relSizeAnchor xmlns:cdr="http://schemas.openxmlformats.org/drawingml/2006/chartDrawing">
    <cdr:from>
      <cdr:x>0.80653</cdr:x>
      <cdr:y>0.02934</cdr:y>
    </cdr:from>
    <cdr:to>
      <cdr:x>0.98454</cdr:x>
      <cdr:y>0.16996</cdr:y>
    </cdr:to>
    <cdr:sp macro="" textlink="'Map Template'!$L$46">
      <cdr:nvSpPr>
        <cdr:cNvPr id="6" name="Rounded Rectangle 5"/>
        <cdr:cNvSpPr/>
      </cdr:nvSpPr>
      <cdr:spPr>
        <a:xfrm xmlns:a="http://schemas.openxmlformats.org/drawingml/2006/main">
          <a:off x="5497648" y="123786"/>
          <a:ext cx="1213389" cy="593290"/>
        </a:xfrm>
        <a:prstGeom xmlns:a="http://schemas.openxmlformats.org/drawingml/2006/main" prst="roundRect">
          <a:avLst/>
        </a:prstGeom>
        <a:ln xmlns:a="http://schemas.openxmlformats.org/drawingml/2006/main">
          <a:solidFill>
            <a:srgbClr val="0070C0"/>
          </a:solidFill>
        </a:ln>
      </cdr:spPr>
      <cdr:style>
        <a:lnRef xmlns:a="http://schemas.openxmlformats.org/drawingml/2006/main" idx="2">
          <a:schemeClr val="accent6"/>
        </a:lnRef>
        <a:fillRef xmlns:a="http://schemas.openxmlformats.org/drawingml/2006/main" idx="1">
          <a:schemeClr val="lt1"/>
        </a:fillRef>
        <a:effectRef xmlns:a="http://schemas.openxmlformats.org/drawingml/2006/main" idx="0">
          <a:schemeClr val="accent6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fld id="{C77F7C31-5CDB-4DC6-AC66-96EA15795372}" type="TxLink">
            <a:rPr lang="en-US" sz="1000" b="0" i="0" u="none" strike="noStrike">
              <a:solidFill>
                <a:srgbClr val="000000"/>
              </a:solidFill>
              <a:latin typeface="SansSerif" panose="00000400000000000000" pitchFamily="2" charset="2"/>
            </a:rPr>
            <a:pPr algn="ctr"/>
            <a:t>Paddock 38 C Area = 0.91 Ha RPM Survey</a:t>
          </a:fld>
          <a:endParaRPr lang="en-US" sz="900">
            <a:latin typeface="SansSerif" panose="00000400000000000000" pitchFamily="2" charset="2"/>
          </a:endParaRPr>
        </a:p>
      </cdr:txBody>
    </cdr:sp>
  </cdr:relSizeAnchor>
  <cdr:relSizeAnchor xmlns:cdr="http://schemas.openxmlformats.org/drawingml/2006/chartDrawing">
    <cdr:from>
      <cdr:x>0.04577</cdr:x>
      <cdr:y>0.01427</cdr:y>
    </cdr:from>
    <cdr:to>
      <cdr:x>0.04577</cdr:x>
      <cdr:y>0.0887</cdr:y>
    </cdr:to>
    <cdr:cxnSp macro="">
      <cdr:nvCxnSpPr>
        <cdr:cNvPr id="4" name="Straight Arrow Connector 3">
          <a:extLst xmlns:a="http://schemas.openxmlformats.org/drawingml/2006/main">
            <a:ext uri="{FF2B5EF4-FFF2-40B4-BE49-F238E27FC236}">
              <a16:creationId xmlns:a16="http://schemas.microsoft.com/office/drawing/2014/main" id="{4702942F-FC67-4EC8-A600-3432E5B2C277}"/>
            </a:ext>
          </a:extLst>
        </cdr:cNvPr>
        <cdr:cNvCxnSpPr/>
      </cdr:nvCxnSpPr>
      <cdr:spPr>
        <a:xfrm xmlns:a="http://schemas.openxmlformats.org/drawingml/2006/main" flipV="1">
          <a:off x="315778" y="59546"/>
          <a:ext cx="2" cy="310661"/>
        </a:xfrm>
        <a:prstGeom xmlns:a="http://schemas.openxmlformats.org/drawingml/2006/main" prst="straightConnector1">
          <a:avLst/>
        </a:prstGeom>
        <a:ln xmlns:a="http://schemas.openxmlformats.org/drawingml/2006/main">
          <a:tailEnd type="triangle"/>
        </a:ln>
      </cdr:spPr>
      <cdr:style>
        <a:lnRef xmlns:a="http://schemas.openxmlformats.org/drawingml/2006/main" idx="1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1</xdr:row>
          <xdr:rowOff>209550</xdr:rowOff>
        </xdr:from>
        <xdr:to>
          <xdr:col>17</xdr:col>
          <xdr:colOff>609600</xdr:colOff>
          <xdr:row>4</xdr:row>
          <xdr:rowOff>171450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3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Estimate measurement rate error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7</xdr:row>
          <xdr:rowOff>142875</xdr:rowOff>
        </xdr:from>
        <xdr:to>
          <xdr:col>17</xdr:col>
          <xdr:colOff>600075</xdr:colOff>
          <xdr:row>11</xdr:row>
          <xdr:rowOff>171450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03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Estimate herbage mass prediction error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16</xdr:row>
          <xdr:rowOff>133350</xdr:rowOff>
        </xdr:from>
        <xdr:to>
          <xdr:col>10</xdr:col>
          <xdr:colOff>161925</xdr:colOff>
          <xdr:row>21</xdr:row>
          <xdr:rowOff>9525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03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Run error simulation loop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358140</xdr:colOff>
      <xdr:row>2</xdr:row>
      <xdr:rowOff>106680</xdr:rowOff>
    </xdr:from>
    <xdr:to>
      <xdr:col>24</xdr:col>
      <xdr:colOff>198120</xdr:colOff>
      <xdr:row>15</xdr:row>
      <xdr:rowOff>15240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342900</xdr:colOff>
      <xdr:row>15</xdr:row>
      <xdr:rowOff>99060</xdr:rowOff>
    </xdr:from>
    <xdr:to>
      <xdr:col>24</xdr:col>
      <xdr:colOff>182880</xdr:colOff>
      <xdr:row>28</xdr:row>
      <xdr:rowOff>83820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121920</xdr:colOff>
      <xdr:row>0</xdr:row>
      <xdr:rowOff>15240</xdr:rowOff>
    </xdr:from>
    <xdr:to>
      <xdr:col>18</xdr:col>
      <xdr:colOff>55034</xdr:colOff>
      <xdr:row>26</xdr:row>
      <xdr:rowOff>77894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25594</xdr:colOff>
      <xdr:row>1</xdr:row>
      <xdr:rowOff>31488</xdr:rowOff>
    </xdr:from>
    <xdr:to>
      <xdr:col>19</xdr:col>
      <xdr:colOff>889969</xdr:colOff>
      <xdr:row>7</xdr:row>
      <xdr:rowOff>168687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8072314" y="580128"/>
          <a:ext cx="864375" cy="1234479"/>
        </a:xfrm>
        <a:prstGeom prst="roundRect">
          <a:avLst/>
        </a:prstGeom>
        <a:solidFill>
          <a:schemeClr val="bg2">
            <a:lumMod val="50000"/>
            <a:alpha val="20000"/>
          </a:schemeClr>
        </a:solidFill>
        <a:ln>
          <a:noFill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E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402167</xdr:colOff>
      <xdr:row>19</xdr:row>
      <xdr:rowOff>105833</xdr:rowOff>
    </xdr:from>
    <xdr:to>
      <xdr:col>15</xdr:col>
      <xdr:colOff>583523</xdr:colOff>
      <xdr:row>40</xdr:row>
      <xdr:rowOff>158245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220980</xdr:colOff>
      <xdr:row>1</xdr:row>
      <xdr:rowOff>99060</xdr:rowOff>
    </xdr:from>
    <xdr:to>
      <xdr:col>12</xdr:col>
      <xdr:colOff>525780</xdr:colOff>
      <xdr:row>15</xdr:row>
      <xdr:rowOff>7620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358140</xdr:colOff>
      <xdr:row>0</xdr:row>
      <xdr:rowOff>106680</xdr:rowOff>
    </xdr:from>
    <xdr:to>
      <xdr:col>14</xdr:col>
      <xdr:colOff>53340</xdr:colOff>
      <xdr:row>11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361950</xdr:colOff>
          <xdr:row>26</xdr:row>
          <xdr:rowOff>142875</xdr:rowOff>
        </xdr:from>
        <xdr:to>
          <xdr:col>4</xdr:col>
          <xdr:colOff>171450</xdr:colOff>
          <xdr:row>29</xdr:row>
          <xdr:rowOff>0</xdr:rowOff>
        </xdr:to>
        <xdr:sp macro="" textlink="">
          <xdr:nvSpPr>
            <xdr:cNvPr id="66561" name="Button 1" hidden="1">
              <a:extLst>
                <a:ext uri="{63B3BB69-23CF-44E3-9099-C40C66FF867C}">
                  <a14:compatExt spid="_x0000_s66561"/>
                </a:ext>
                <a:ext uri="{FF2B5EF4-FFF2-40B4-BE49-F238E27FC236}">
                  <a16:creationId xmlns:a16="http://schemas.microsoft.com/office/drawing/2014/main" id="{00000000-0008-0000-0A00-00000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Optimise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220980</xdr:colOff>
      <xdr:row>1</xdr:row>
      <xdr:rowOff>99060</xdr:rowOff>
    </xdr:from>
    <xdr:to>
      <xdr:col>15</xdr:col>
      <xdr:colOff>525780</xdr:colOff>
      <xdr:row>12</xdr:row>
      <xdr:rowOff>119380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361950</xdr:colOff>
          <xdr:row>30</xdr:row>
          <xdr:rowOff>142875</xdr:rowOff>
        </xdr:from>
        <xdr:to>
          <xdr:col>4</xdr:col>
          <xdr:colOff>171450</xdr:colOff>
          <xdr:row>33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B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Optimise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220980</xdr:colOff>
      <xdr:row>1</xdr:row>
      <xdr:rowOff>99060</xdr:rowOff>
    </xdr:from>
    <xdr:to>
      <xdr:col>19</xdr:col>
      <xdr:colOff>525780</xdr:colOff>
      <xdr:row>16</xdr:row>
      <xdr:rowOff>119380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361950</xdr:colOff>
          <xdr:row>38</xdr:row>
          <xdr:rowOff>142875</xdr:rowOff>
        </xdr:from>
        <xdr:to>
          <xdr:col>4</xdr:col>
          <xdr:colOff>171450</xdr:colOff>
          <xdr:row>41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C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Optimise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525780</xdr:colOff>
      <xdr:row>2</xdr:row>
      <xdr:rowOff>22860</xdr:rowOff>
    </xdr:from>
    <xdr:to>
      <xdr:col>13</xdr:col>
      <xdr:colOff>236220</xdr:colOff>
      <xdr:row>15</xdr:row>
      <xdr:rowOff>157480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525780</xdr:colOff>
      <xdr:row>2</xdr:row>
      <xdr:rowOff>22860</xdr:rowOff>
    </xdr:from>
    <xdr:to>
      <xdr:col>13</xdr:col>
      <xdr:colOff>236220</xdr:colOff>
      <xdr:row>19</xdr:row>
      <xdr:rowOff>157480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140230</xdr:colOff>
      <xdr:row>0</xdr:row>
      <xdr:rowOff>116413</xdr:rowOff>
    </xdr:from>
    <xdr:to>
      <xdr:col>13</xdr:col>
      <xdr:colOff>486834</xdr:colOff>
      <xdr:row>24</xdr:row>
      <xdr:rowOff>84665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309563</xdr:colOff>
      <xdr:row>2</xdr:row>
      <xdr:rowOff>42332</xdr:rowOff>
    </xdr:from>
    <xdr:to>
      <xdr:col>13</xdr:col>
      <xdr:colOff>592666</xdr:colOff>
      <xdr:row>28</xdr:row>
      <xdr:rowOff>103187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318558</xdr:colOff>
      <xdr:row>50</xdr:row>
      <xdr:rowOff>18520</xdr:rowOff>
    </xdr:from>
    <xdr:to>
      <xdr:col>34</xdr:col>
      <xdr:colOff>285750</xdr:colOff>
      <xdr:row>83</xdr:row>
      <xdr:rowOff>133666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309033</xdr:colOff>
      <xdr:row>1</xdr:row>
      <xdr:rowOff>182033</xdr:rowOff>
    </xdr:from>
    <xdr:to>
      <xdr:col>14</xdr:col>
      <xdr:colOff>141514</xdr:colOff>
      <xdr:row>23</xdr:row>
      <xdr:rowOff>119743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Glow Edge">
      <a:fillStyleLst>
        <a:solidFill>
          <a:schemeClr val="phClr"/>
        </a:solidFill>
        <a:solidFill>
          <a:schemeClr val="phClr">
            <a:tint val="55000"/>
          </a:schemeClr>
        </a:solidFill>
        <a:solidFill>
          <a:schemeClr val="phClr"/>
        </a:solidFill>
      </a:fillStyleLst>
      <a:lnStyleLst>
        <a:ln w="12700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algn="bl" rotWithShape="0">
              <a:srgbClr val="000000">
                <a:alpha val="60000"/>
              </a:srgbClr>
            </a:outerShdw>
          </a:effectLst>
        </a:effectStyle>
        <a:effectStyle>
          <a:effectLst/>
          <a:scene3d>
            <a:camera prst="orthographicFront">
              <a:rot lat="0" lon="0" rev="0"/>
            </a:camera>
            <a:lightRig rig="brightRoom" dir="tl">
              <a:rot lat="0" lon="0" rev="1800000"/>
            </a:lightRig>
          </a:scene3d>
          <a:sp3d contourW="10160" prstMaterial="dkEdge">
            <a:bevelT w="38100" h="50800" prst="angle"/>
            <a:contourClr>
              <a:schemeClr val="phClr">
                <a:shade val="40000"/>
                <a:satMod val="15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Glow Edge">
    <a:fillStyleLst>
      <a:solidFill>
        <a:schemeClr val="phClr"/>
      </a:solidFill>
      <a:solidFill>
        <a:schemeClr val="phClr">
          <a:tint val="55000"/>
        </a:schemeClr>
      </a:solidFill>
      <a:solidFill>
        <a:schemeClr val="phClr"/>
      </a:solidFill>
    </a:fillStyleLst>
    <a:lnStyleLst>
      <a:ln w="12700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/>
      </a:effectStyle>
      <a:effectStyle>
        <a:effectLst>
          <a:outerShdw blurRad="50800" dist="25400" algn="bl" rotWithShape="0">
            <a:srgbClr val="000000">
              <a:alpha val="60000"/>
            </a:srgbClr>
          </a:outerShdw>
        </a:effectLst>
      </a:effectStyle>
      <a:effectStyle>
        <a:effectLst/>
        <a:scene3d>
          <a:camera prst="orthographicFront">
            <a:rot lat="0" lon="0" rev="0"/>
          </a:camera>
          <a:lightRig rig="brightRoom" dir="tl">
            <a:rot lat="0" lon="0" rev="1800000"/>
          </a:lightRig>
        </a:scene3d>
        <a:sp3d contourW="10160" prstMaterial="dkEdge">
          <a:bevelT w="38100" h="50800" prst="angle"/>
          <a:contourClr>
            <a:schemeClr val="phClr">
              <a:shade val="40000"/>
              <a:satMod val="150000"/>
            </a:schemeClr>
          </a:contourClr>
        </a:sp3d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50"/>
  </sheetPr>
  <dimension ref="A1:Z156"/>
  <sheetViews>
    <sheetView showGridLines="0" showRowColHeaders="0" tabSelected="1" showRuler="0" topLeftCell="B1" zoomScale="114" zoomScaleNormal="114" workbookViewId="0">
      <selection activeCell="P7" sqref="P7"/>
    </sheetView>
  </sheetViews>
  <sheetFormatPr defaultRowHeight="15"/>
  <cols>
    <col min="1" max="1" width="8.85546875" style="117"/>
    <col min="2" max="2" width="17.7109375" style="197" customWidth="1"/>
    <col min="3" max="3" width="12.7109375" style="197" customWidth="1"/>
    <col min="4" max="14" width="12.7109375" style="198" customWidth="1"/>
    <col min="15" max="15" width="16.85546875" style="216" customWidth="1"/>
    <col min="16" max="16" width="11.28515625" style="216" customWidth="1"/>
    <col min="17" max="17" width="11" style="216" customWidth="1"/>
    <col min="18" max="18" width="8.85546875" style="163"/>
    <col min="19" max="26" width="8.85546875" style="160"/>
  </cols>
  <sheetData>
    <row r="1" spans="2:26" s="117" customFormat="1" ht="30" customHeight="1">
      <c r="B1" s="190"/>
      <c r="C1" s="191"/>
      <c r="D1" s="192"/>
      <c r="E1" s="192"/>
      <c r="F1" s="193"/>
      <c r="G1" s="192"/>
      <c r="H1" s="192"/>
      <c r="I1" s="192"/>
      <c r="J1" s="192"/>
      <c r="K1" s="192"/>
      <c r="L1" s="192"/>
      <c r="M1" s="192"/>
      <c r="N1" s="192"/>
      <c r="O1" s="194"/>
      <c r="P1" s="194"/>
      <c r="Q1" s="195"/>
      <c r="R1" s="163"/>
      <c r="S1" s="160"/>
      <c r="T1" s="160"/>
      <c r="U1" s="160"/>
      <c r="V1" s="160"/>
      <c r="W1" s="160"/>
      <c r="X1" s="160"/>
      <c r="Y1" s="160"/>
      <c r="Z1" s="160"/>
    </row>
    <row r="2" spans="2:26" ht="27.75" customHeight="1">
      <c r="B2" s="190"/>
      <c r="C2" s="191"/>
      <c r="D2" s="192"/>
      <c r="E2" s="192"/>
      <c r="F2" s="192"/>
      <c r="G2" s="192"/>
      <c r="H2" s="192"/>
      <c r="I2" s="192"/>
      <c r="J2" s="192"/>
      <c r="K2" s="192"/>
      <c r="L2" s="192"/>
      <c r="M2" s="192"/>
      <c r="N2" s="192"/>
      <c r="O2" s="238" t="s">
        <v>94</v>
      </c>
      <c r="P2" s="239"/>
      <c r="Q2" s="240"/>
    </row>
    <row r="3" spans="2:26" ht="24.75" customHeight="1">
      <c r="B3" s="196"/>
      <c r="O3" s="241" t="s">
        <v>95</v>
      </c>
      <c r="P3" s="242"/>
      <c r="Q3" s="243"/>
    </row>
    <row r="4" spans="2:26" ht="25.5" customHeight="1">
      <c r="B4" s="196"/>
      <c r="O4" s="247" t="s">
        <v>189</v>
      </c>
      <c r="P4" s="248"/>
      <c r="Q4" s="249"/>
    </row>
    <row r="5" spans="2:26" ht="21.75" customHeight="1">
      <c r="B5" s="196"/>
      <c r="O5" s="241" t="s">
        <v>93</v>
      </c>
      <c r="P5" s="242"/>
      <c r="Q5" s="243"/>
    </row>
    <row r="6" spans="2:26" ht="24.75" customHeight="1">
      <c r="B6" s="196"/>
      <c r="O6" s="247" t="s">
        <v>187</v>
      </c>
      <c r="P6" s="248"/>
      <c r="Q6" s="249"/>
    </row>
    <row r="7" spans="2:26" ht="29.25" customHeight="1">
      <c r="B7" s="196"/>
      <c r="C7" s="199"/>
      <c r="O7" s="224" t="s">
        <v>209</v>
      </c>
      <c r="P7" s="222">
        <v>16</v>
      </c>
      <c r="Q7" s="231" t="s">
        <v>64</v>
      </c>
      <c r="S7"/>
    </row>
    <row r="8" spans="2:26" ht="28.5" customHeight="1">
      <c r="B8" s="196"/>
      <c r="C8" s="200"/>
      <c r="O8" s="224" t="s">
        <v>211</v>
      </c>
      <c r="P8" s="229">
        <v>80</v>
      </c>
      <c r="Q8" s="231" t="s">
        <v>61</v>
      </c>
    </row>
    <row r="9" spans="2:26" ht="25.5" customHeight="1">
      <c r="B9" s="250"/>
      <c r="C9" s="251"/>
      <c r="O9" s="224" t="s">
        <v>210</v>
      </c>
      <c r="P9" s="222">
        <v>40</v>
      </c>
      <c r="Q9" s="231" t="s">
        <v>61</v>
      </c>
    </row>
    <row r="10" spans="2:26" ht="27" customHeight="1">
      <c r="B10" s="196"/>
      <c r="O10" s="224" t="s">
        <v>184</v>
      </c>
      <c r="P10" s="222" t="s">
        <v>190</v>
      </c>
      <c r="Q10" s="232"/>
    </row>
    <row r="11" spans="2:26" ht="26.25" customHeight="1">
      <c r="B11" s="196"/>
      <c r="O11" s="224" t="s">
        <v>205</v>
      </c>
      <c r="P11" s="230" t="s">
        <v>125</v>
      </c>
      <c r="Q11" s="221"/>
    </row>
    <row r="12" spans="2:26" ht="28.5" customHeight="1">
      <c r="B12" s="196"/>
      <c r="O12" s="224" t="s">
        <v>186</v>
      </c>
      <c r="P12" s="222" t="s">
        <v>224</v>
      </c>
      <c r="Q12" s="231" t="s">
        <v>75</v>
      </c>
    </row>
    <row r="13" spans="2:26" ht="27" customHeight="1">
      <c r="B13" s="196"/>
      <c r="O13" s="247" t="s">
        <v>78</v>
      </c>
      <c r="P13" s="248"/>
      <c r="Q13" s="249"/>
    </row>
    <row r="14" spans="2:26" ht="27" customHeight="1">
      <c r="B14" s="196"/>
      <c r="O14" s="220" t="s">
        <v>212</v>
      </c>
      <c r="P14" s="223">
        <f>'Error simulator'!I7</f>
        <v>1258.2717138</v>
      </c>
      <c r="Q14" s="228" t="s">
        <v>102</v>
      </c>
    </row>
    <row r="15" spans="2:26" ht="31.5" customHeight="1">
      <c r="B15" s="196"/>
      <c r="O15" s="220" t="s">
        <v>213</v>
      </c>
      <c r="P15" s="225">
        <f>'Error simulator'!I11</f>
        <v>-7.1575869931411427E-3</v>
      </c>
      <c r="Q15" s="201"/>
    </row>
    <row r="16" spans="2:26" ht="27" customHeight="1">
      <c r="B16" s="196"/>
      <c r="O16" s="220" t="s">
        <v>223</v>
      </c>
      <c r="P16" s="225">
        <f>'Error simulator'!I13</f>
        <v>7.7664684920769389E-2</v>
      </c>
      <c r="Q16" s="201"/>
    </row>
    <row r="17" spans="2:26" ht="30" customHeight="1">
      <c r="B17" s="196"/>
      <c r="N17" s="202"/>
      <c r="O17" s="220" t="s">
        <v>214</v>
      </c>
      <c r="P17" s="225">
        <f>'Error simulator'!I16</f>
        <v>7.0507097927628257E-2</v>
      </c>
      <c r="Q17" s="201"/>
    </row>
    <row r="18" spans="2:26" ht="8.25" customHeight="1">
      <c r="B18" s="196"/>
      <c r="O18" s="203"/>
      <c r="P18" s="204"/>
      <c r="Q18" s="205"/>
    </row>
    <row r="19" spans="2:26" ht="24" customHeight="1">
      <c r="B19" s="196"/>
      <c r="O19" s="244" t="s">
        <v>188</v>
      </c>
      <c r="P19" s="245"/>
      <c r="Q19" s="246"/>
    </row>
    <row r="20" spans="2:26" ht="28.5" customHeight="1">
      <c r="B20" s="196"/>
      <c r="D20" s="206"/>
      <c r="E20" s="206"/>
      <c r="G20" s="206"/>
      <c r="H20" s="206"/>
      <c r="I20" s="206"/>
      <c r="K20" s="202"/>
      <c r="L20" s="202"/>
      <c r="M20" s="207"/>
      <c r="O20" s="235" t="s">
        <v>96</v>
      </c>
      <c r="P20" s="226">
        <f>IF(P7=8,'8'!E35,IF(P7=16,'16'!S29,IF(P7=24,'24'!S37,IF(P7=32,'32'!T45,IF(P7=40,'40'!T53,IF(P7=4,'4'!E27,IF(P7=12,'12'!S25,IF(P7=160,#REF!,IF(GMOT!P7=200,#REF!,IF(GMOT!P7=240,#REF!,IF(GMOT!P7=20,'20'!S33,IF(P7=1,'1'!C12,IF(P7=2,'2'!E23,"NA")))))))))))))</f>
        <v>569.52829430124405</v>
      </c>
      <c r="Q20" s="233" t="s">
        <v>92</v>
      </c>
    </row>
    <row r="21" spans="2:26" ht="24" customHeight="1">
      <c r="B21" s="196"/>
      <c r="O21" s="235" t="s">
        <v>97</v>
      </c>
      <c r="P21" s="226">
        <f>P20/Model!C5/60</f>
        <v>4.7460691191770339</v>
      </c>
      <c r="Q21" s="233" t="s">
        <v>101</v>
      </c>
    </row>
    <row r="22" spans="2:26" ht="24.75" customHeight="1">
      <c r="B22" s="196"/>
      <c r="O22" s="235" t="s">
        <v>207</v>
      </c>
      <c r="P22" s="227">
        <f>Model!C12</f>
        <v>1.1865172797942585</v>
      </c>
      <c r="Q22" s="233" t="s">
        <v>91</v>
      </c>
    </row>
    <row r="23" spans="2:26" ht="24" customHeight="1">
      <c r="B23" s="196"/>
      <c r="O23" s="235" t="s">
        <v>208</v>
      </c>
      <c r="P23" s="227">
        <f>Model!C13</f>
        <v>15.348056041391795</v>
      </c>
      <c r="Q23" s="233" t="s">
        <v>91</v>
      </c>
    </row>
    <row r="24" spans="2:26" ht="22.5" customHeight="1">
      <c r="B24" s="208"/>
      <c r="C24" s="209"/>
      <c r="D24" s="210"/>
      <c r="E24" s="210"/>
      <c r="F24" s="210"/>
      <c r="G24" s="210"/>
      <c r="H24" s="210"/>
      <c r="I24" s="210"/>
      <c r="J24" s="210"/>
      <c r="K24" s="210"/>
      <c r="L24" s="210"/>
      <c r="M24" s="210"/>
      <c r="N24" s="210"/>
      <c r="O24" s="236" t="s">
        <v>222</v>
      </c>
      <c r="P24" s="237">
        <f>Model!C8-Model!C13-Model!C12</f>
        <v>201.14643316621394</v>
      </c>
      <c r="Q24" s="234" t="s">
        <v>91</v>
      </c>
    </row>
    <row r="25" spans="2:26" s="42" customFormat="1">
      <c r="B25" s="211"/>
      <c r="C25" s="211"/>
      <c r="D25" s="212"/>
      <c r="E25" s="212"/>
      <c r="F25" s="212"/>
      <c r="G25" s="212"/>
      <c r="H25" s="212"/>
      <c r="I25" s="212"/>
      <c r="J25" s="212"/>
      <c r="K25" s="212"/>
      <c r="L25" s="212"/>
      <c r="M25" s="212"/>
      <c r="N25" s="198"/>
      <c r="O25" s="213"/>
      <c r="P25" s="213"/>
      <c r="Q25" s="213"/>
      <c r="R25" s="163"/>
      <c r="S25" s="160"/>
      <c r="T25" s="160"/>
      <c r="U25" s="160"/>
      <c r="V25" s="160"/>
      <c r="W25" s="160"/>
      <c r="X25" s="160"/>
      <c r="Y25" s="160"/>
      <c r="Z25" s="160"/>
    </row>
    <row r="26" spans="2:26" s="42" customFormat="1">
      <c r="B26" s="197"/>
      <c r="C26" s="197"/>
      <c r="D26" s="198"/>
      <c r="E26" s="198"/>
      <c r="F26" s="198"/>
      <c r="G26" s="198"/>
      <c r="H26" s="198"/>
      <c r="I26" s="198"/>
      <c r="J26" s="198"/>
      <c r="K26" s="198"/>
      <c r="L26" s="198"/>
      <c r="M26" s="198"/>
      <c r="N26" s="212"/>
      <c r="O26" s="213"/>
      <c r="P26" s="213"/>
      <c r="Q26" s="213"/>
      <c r="R26" s="163"/>
      <c r="S26" s="160"/>
      <c r="T26" s="160"/>
      <c r="U26" s="160"/>
      <c r="V26" s="160"/>
      <c r="W26" s="160"/>
      <c r="X26" s="160"/>
      <c r="Y26" s="160"/>
      <c r="Z26" s="160"/>
    </row>
    <row r="27" spans="2:26" s="42" customFormat="1">
      <c r="B27" s="197"/>
      <c r="C27" s="197"/>
      <c r="D27" s="198"/>
      <c r="E27" s="198"/>
      <c r="F27" s="198"/>
      <c r="G27" s="198"/>
      <c r="H27" s="198"/>
      <c r="I27" s="198"/>
      <c r="J27" s="198"/>
      <c r="K27" s="198"/>
      <c r="L27" s="198"/>
      <c r="M27" s="198"/>
      <c r="N27" s="212"/>
      <c r="O27" s="213"/>
      <c r="P27" s="213"/>
      <c r="Q27" s="213"/>
      <c r="R27" s="163"/>
      <c r="S27" s="160"/>
      <c r="T27" s="160"/>
      <c r="U27" s="160"/>
      <c r="V27" s="160"/>
      <c r="W27" s="160"/>
      <c r="X27" s="160"/>
      <c r="Y27" s="160"/>
      <c r="Z27" s="160"/>
    </row>
    <row r="28" spans="2:26" s="42" customFormat="1">
      <c r="B28" s="197"/>
      <c r="C28" s="197"/>
      <c r="D28" s="198"/>
      <c r="E28" s="198"/>
      <c r="F28" s="198"/>
      <c r="G28" s="198"/>
      <c r="H28" s="198"/>
      <c r="I28" s="198"/>
      <c r="J28" s="198"/>
      <c r="K28" s="198"/>
      <c r="L28" s="198"/>
      <c r="M28" s="198"/>
      <c r="N28" s="212"/>
      <c r="O28" s="213"/>
      <c r="P28" s="213"/>
      <c r="Q28" s="213"/>
      <c r="R28" s="163"/>
      <c r="S28" s="160"/>
      <c r="T28" s="160"/>
      <c r="U28" s="160"/>
      <c r="V28" s="160"/>
      <c r="W28" s="160"/>
      <c r="X28" s="160"/>
      <c r="Y28" s="160"/>
      <c r="Z28" s="160"/>
    </row>
    <row r="29" spans="2:26" s="42" customFormat="1">
      <c r="B29" s="211"/>
      <c r="C29" s="197"/>
      <c r="D29" s="198"/>
      <c r="E29" s="198"/>
      <c r="F29" s="198"/>
      <c r="G29" s="198"/>
      <c r="H29" s="198"/>
      <c r="I29" s="198"/>
      <c r="J29" s="198"/>
      <c r="K29" s="198"/>
      <c r="L29" s="198"/>
      <c r="M29" s="198"/>
      <c r="N29" s="212"/>
      <c r="O29" s="213"/>
      <c r="P29" s="213"/>
      <c r="Q29" s="213"/>
      <c r="R29" s="163"/>
      <c r="S29" s="160"/>
      <c r="T29" s="160"/>
      <c r="U29" s="160"/>
      <c r="V29" s="160"/>
      <c r="W29" s="160"/>
      <c r="X29" s="160"/>
      <c r="Y29" s="160"/>
      <c r="Z29" s="160"/>
    </row>
    <row r="30" spans="2:26" s="42" customFormat="1">
      <c r="B30" s="197"/>
      <c r="C30" s="197"/>
      <c r="D30" s="198"/>
      <c r="E30" s="198"/>
      <c r="F30" s="198"/>
      <c r="G30" s="198"/>
      <c r="H30" s="198"/>
      <c r="I30" s="198"/>
      <c r="J30" s="198"/>
      <c r="K30" s="198"/>
      <c r="L30" s="198"/>
      <c r="M30" s="198"/>
      <c r="N30" s="212"/>
      <c r="O30" s="213"/>
      <c r="P30" s="213"/>
      <c r="Q30" s="213"/>
      <c r="R30" s="163"/>
      <c r="S30" s="160"/>
      <c r="T30" s="160"/>
      <c r="U30" s="160"/>
      <c r="V30" s="160"/>
      <c r="W30" s="160"/>
      <c r="X30" s="160"/>
      <c r="Y30" s="160"/>
      <c r="Z30" s="160"/>
    </row>
    <row r="31" spans="2:26" s="42" customFormat="1">
      <c r="B31" s="197"/>
      <c r="C31" s="197"/>
      <c r="D31" s="198"/>
      <c r="E31" s="198"/>
      <c r="F31" s="198"/>
      <c r="G31" s="198"/>
      <c r="H31" s="198"/>
      <c r="I31" s="198"/>
      <c r="J31" s="214"/>
      <c r="K31" s="198"/>
      <c r="L31" s="198"/>
      <c r="M31" s="198"/>
      <c r="N31" s="212"/>
      <c r="O31" s="213"/>
      <c r="P31" s="213"/>
      <c r="Q31" s="213"/>
      <c r="R31" s="163"/>
      <c r="S31" s="160"/>
      <c r="T31" s="160"/>
      <c r="U31" s="160"/>
      <c r="V31" s="160"/>
      <c r="W31" s="160"/>
      <c r="X31" s="160"/>
      <c r="Y31" s="160"/>
      <c r="Z31" s="160"/>
    </row>
    <row r="32" spans="2:26" s="42" customFormat="1">
      <c r="B32" s="197"/>
      <c r="C32" s="197"/>
      <c r="D32" s="198"/>
      <c r="E32" s="198"/>
      <c r="F32" s="198"/>
      <c r="G32" s="198"/>
      <c r="H32" s="198"/>
      <c r="I32" s="198"/>
      <c r="J32" s="198"/>
      <c r="K32" s="198"/>
      <c r="L32" s="198"/>
      <c r="M32" s="198"/>
      <c r="N32" s="212"/>
      <c r="O32" s="213"/>
      <c r="P32" s="213"/>
      <c r="Q32" s="213"/>
      <c r="R32" s="163"/>
      <c r="S32" s="160"/>
      <c r="T32" s="160"/>
      <c r="U32" s="160"/>
      <c r="V32" s="160"/>
      <c r="W32" s="160"/>
      <c r="X32" s="160"/>
      <c r="Y32" s="160"/>
      <c r="Z32" s="160"/>
    </row>
    <row r="33" spans="2:26" s="42" customFormat="1">
      <c r="B33" s="197"/>
      <c r="C33" s="197"/>
      <c r="D33" s="198"/>
      <c r="E33" s="198"/>
      <c r="F33" s="198"/>
      <c r="G33" s="198" t="s">
        <v>51</v>
      </c>
      <c r="H33" s="198"/>
      <c r="I33" s="198"/>
      <c r="J33" s="198"/>
      <c r="K33" s="198"/>
      <c r="L33" s="198"/>
      <c r="M33" s="198"/>
      <c r="N33" s="212"/>
      <c r="O33" s="213"/>
      <c r="P33" s="213"/>
      <c r="Q33" s="213"/>
      <c r="R33" s="163"/>
      <c r="S33" s="160"/>
      <c r="T33" s="160"/>
      <c r="U33" s="160"/>
      <c r="V33" s="160"/>
      <c r="W33" s="160"/>
      <c r="X33" s="160"/>
      <c r="Y33" s="160"/>
      <c r="Z33" s="160"/>
    </row>
    <row r="34" spans="2:26" s="42" customFormat="1">
      <c r="B34" s="197"/>
      <c r="C34" s="197"/>
      <c r="D34" s="198"/>
      <c r="E34" s="198"/>
      <c r="F34" s="198"/>
      <c r="G34" s="198"/>
      <c r="H34" s="198"/>
      <c r="I34" s="198"/>
      <c r="J34" s="198"/>
      <c r="K34" s="212"/>
      <c r="L34" s="212"/>
      <c r="M34" s="212"/>
      <c r="N34" s="212"/>
      <c r="O34" s="213"/>
      <c r="P34" s="213"/>
      <c r="Q34" s="213"/>
      <c r="R34" s="163"/>
      <c r="S34" s="160"/>
      <c r="T34" s="160"/>
      <c r="U34" s="160"/>
      <c r="V34" s="160"/>
      <c r="W34" s="160"/>
      <c r="X34" s="160"/>
      <c r="Y34" s="160"/>
      <c r="Z34" s="160"/>
    </row>
    <row r="35" spans="2:26" s="42" customFormat="1">
      <c r="B35" s="197"/>
      <c r="C35" s="197"/>
      <c r="D35" s="198"/>
      <c r="E35" s="198"/>
      <c r="F35" s="198"/>
      <c r="G35" s="198"/>
      <c r="H35" s="198"/>
      <c r="I35" s="198"/>
      <c r="J35" s="198"/>
      <c r="K35" s="212"/>
      <c r="L35" s="212"/>
      <c r="M35" s="212"/>
      <c r="N35" s="212"/>
      <c r="O35" s="213"/>
      <c r="P35" s="213"/>
      <c r="Q35" s="213"/>
      <c r="R35" s="163"/>
      <c r="S35" s="160"/>
      <c r="T35" s="160"/>
      <c r="U35" s="160"/>
      <c r="V35" s="160"/>
      <c r="W35" s="160"/>
      <c r="X35" s="160"/>
      <c r="Y35" s="160"/>
      <c r="Z35" s="160"/>
    </row>
    <row r="36" spans="2:26" s="42" customFormat="1">
      <c r="B36" s="197"/>
      <c r="C36" s="197"/>
      <c r="D36" s="198"/>
      <c r="E36" s="198"/>
      <c r="F36" s="198"/>
      <c r="G36" s="198"/>
      <c r="H36" s="198"/>
      <c r="I36" s="198"/>
      <c r="J36" s="198"/>
      <c r="K36" s="212"/>
      <c r="L36" s="212"/>
      <c r="M36" s="212"/>
      <c r="N36" s="212"/>
      <c r="O36" s="213"/>
      <c r="P36" s="213"/>
      <c r="Q36" s="213"/>
      <c r="R36" s="163"/>
      <c r="S36" s="160"/>
      <c r="T36" s="160"/>
      <c r="U36" s="160"/>
      <c r="V36" s="160"/>
      <c r="W36" s="160"/>
      <c r="X36" s="160"/>
      <c r="Y36" s="160"/>
      <c r="Z36" s="160"/>
    </row>
    <row r="37" spans="2:26" s="42" customFormat="1">
      <c r="B37" s="197"/>
      <c r="C37" s="215"/>
      <c r="D37" s="198"/>
      <c r="E37" s="198"/>
      <c r="F37" s="198"/>
      <c r="G37" s="198"/>
      <c r="H37" s="198"/>
      <c r="I37" s="198"/>
      <c r="J37" s="198"/>
      <c r="K37" s="212"/>
      <c r="L37" s="212"/>
      <c r="M37" s="212"/>
      <c r="N37" s="212"/>
      <c r="O37" s="213"/>
      <c r="P37" s="213"/>
      <c r="Q37" s="213"/>
      <c r="R37" s="163"/>
      <c r="S37" s="160"/>
      <c r="T37" s="160"/>
      <c r="U37" s="160"/>
      <c r="V37" s="160"/>
      <c r="W37" s="160"/>
      <c r="X37" s="160"/>
      <c r="Y37" s="160"/>
      <c r="Z37" s="160"/>
    </row>
    <row r="38" spans="2:26" s="42" customFormat="1">
      <c r="B38" s="197"/>
      <c r="C38" s="215"/>
      <c r="D38" s="198"/>
      <c r="E38" s="198"/>
      <c r="F38" s="198"/>
      <c r="G38" s="198"/>
      <c r="H38" s="198"/>
      <c r="I38" s="198"/>
      <c r="J38" s="198"/>
      <c r="K38" s="212"/>
      <c r="L38" s="212"/>
      <c r="M38" s="212"/>
      <c r="N38" s="212"/>
      <c r="O38" s="213"/>
      <c r="P38" s="213"/>
      <c r="Q38" s="213"/>
      <c r="R38" s="163"/>
      <c r="S38" s="160"/>
      <c r="T38" s="160"/>
      <c r="U38" s="160"/>
      <c r="V38" s="160"/>
      <c r="W38" s="160"/>
      <c r="X38" s="160"/>
      <c r="Y38" s="160"/>
      <c r="Z38" s="160"/>
    </row>
    <row r="39" spans="2:26" s="42" customFormat="1">
      <c r="B39" s="197"/>
      <c r="C39" s="215"/>
      <c r="D39" s="198"/>
      <c r="E39" s="198"/>
      <c r="F39" s="198"/>
      <c r="G39" s="198"/>
      <c r="H39" s="198"/>
      <c r="I39" s="198"/>
      <c r="J39" s="198"/>
      <c r="K39" s="212"/>
      <c r="L39" s="212"/>
      <c r="M39" s="212"/>
      <c r="N39" s="212"/>
      <c r="O39" s="213"/>
      <c r="P39" s="213"/>
      <c r="Q39" s="213"/>
      <c r="R39" s="163"/>
      <c r="S39" s="160"/>
      <c r="T39" s="160"/>
      <c r="U39" s="160"/>
      <c r="V39" s="160"/>
      <c r="W39" s="160"/>
      <c r="X39" s="160"/>
      <c r="Y39" s="160"/>
      <c r="Z39" s="160"/>
    </row>
    <row r="40" spans="2:26" s="42" customFormat="1">
      <c r="B40" s="197"/>
      <c r="C40" s="215"/>
      <c r="D40" s="198"/>
      <c r="E40" s="198"/>
      <c r="F40" s="198"/>
      <c r="G40" s="198"/>
      <c r="H40" s="198"/>
      <c r="I40" s="198"/>
      <c r="J40" s="198"/>
      <c r="K40" s="212"/>
      <c r="L40" s="212"/>
      <c r="M40" s="212"/>
      <c r="N40" s="212"/>
      <c r="O40" s="213"/>
      <c r="P40" s="213"/>
      <c r="Q40" s="213"/>
      <c r="R40" s="163"/>
      <c r="S40" s="160"/>
      <c r="T40" s="160"/>
      <c r="U40" s="160"/>
      <c r="V40" s="160"/>
      <c r="W40" s="160"/>
      <c r="X40" s="160"/>
      <c r="Y40" s="160"/>
      <c r="Z40" s="160"/>
    </row>
    <row r="41" spans="2:26" s="42" customFormat="1">
      <c r="B41" s="197"/>
      <c r="C41" s="215"/>
      <c r="D41" s="198"/>
      <c r="E41" s="198"/>
      <c r="F41" s="198"/>
      <c r="G41" s="198"/>
      <c r="H41" s="198"/>
      <c r="I41" s="198"/>
      <c r="J41" s="198"/>
      <c r="K41" s="212"/>
      <c r="L41" s="212"/>
      <c r="M41" s="212"/>
      <c r="N41" s="212"/>
      <c r="O41" s="213"/>
      <c r="P41" s="213"/>
      <c r="Q41" s="213"/>
      <c r="R41" s="163"/>
      <c r="S41" s="160"/>
      <c r="T41" s="160"/>
      <c r="U41" s="160"/>
      <c r="V41" s="160"/>
      <c r="W41" s="160"/>
      <c r="X41" s="160"/>
      <c r="Y41" s="160"/>
      <c r="Z41" s="160"/>
    </row>
    <row r="42" spans="2:26" s="42" customFormat="1">
      <c r="B42" s="197"/>
      <c r="C42" s="215"/>
      <c r="D42" s="198"/>
      <c r="E42" s="198"/>
      <c r="F42" s="198"/>
      <c r="G42" s="198"/>
      <c r="H42" s="198"/>
      <c r="I42" s="198"/>
      <c r="J42" s="198"/>
      <c r="K42" s="212"/>
      <c r="L42" s="212"/>
      <c r="M42" s="212"/>
      <c r="N42" s="212"/>
      <c r="O42" s="213"/>
      <c r="P42" s="213"/>
      <c r="Q42" s="213"/>
      <c r="R42" s="163"/>
      <c r="S42" s="160"/>
      <c r="T42" s="160"/>
      <c r="U42" s="160"/>
      <c r="V42" s="160"/>
      <c r="W42" s="160"/>
      <c r="X42" s="160"/>
      <c r="Y42" s="160"/>
      <c r="Z42" s="160"/>
    </row>
    <row r="43" spans="2:26" s="42" customFormat="1">
      <c r="B43" s="197"/>
      <c r="C43" s="215"/>
      <c r="D43" s="198"/>
      <c r="E43" s="198"/>
      <c r="F43" s="198"/>
      <c r="G43" s="198"/>
      <c r="H43" s="198"/>
      <c r="I43" s="198"/>
      <c r="J43" s="198"/>
      <c r="K43" s="212"/>
      <c r="L43" s="212"/>
      <c r="M43" s="212"/>
      <c r="N43" s="212"/>
      <c r="O43" s="213"/>
      <c r="P43" s="213"/>
      <c r="Q43" s="213"/>
      <c r="R43" s="163"/>
      <c r="S43" s="160"/>
      <c r="T43" s="160"/>
      <c r="U43" s="160"/>
      <c r="V43" s="160"/>
      <c r="W43" s="160"/>
      <c r="X43" s="160"/>
      <c r="Y43" s="160"/>
      <c r="Z43" s="160"/>
    </row>
    <row r="44" spans="2:26" s="42" customFormat="1">
      <c r="B44" s="197"/>
      <c r="C44" s="215"/>
      <c r="D44" s="198"/>
      <c r="E44" s="198"/>
      <c r="F44" s="198"/>
      <c r="G44" s="198"/>
      <c r="H44" s="198"/>
      <c r="I44" s="198"/>
      <c r="J44" s="198"/>
      <c r="K44" s="212"/>
      <c r="L44" s="212"/>
      <c r="M44" s="212"/>
      <c r="N44" s="212"/>
      <c r="O44" s="213"/>
      <c r="P44" s="213"/>
      <c r="Q44" s="213"/>
      <c r="R44" s="163"/>
      <c r="S44" s="160"/>
      <c r="T44" s="160"/>
      <c r="U44" s="160"/>
      <c r="V44" s="160"/>
      <c r="W44" s="160"/>
      <c r="X44" s="160"/>
      <c r="Y44" s="160"/>
      <c r="Z44" s="160"/>
    </row>
    <row r="45" spans="2:26" s="42" customFormat="1">
      <c r="B45" s="197"/>
      <c r="C45" s="215"/>
      <c r="D45" s="198"/>
      <c r="E45" s="198"/>
      <c r="F45" s="198"/>
      <c r="G45" s="198"/>
      <c r="H45" s="198"/>
      <c r="I45" s="198"/>
      <c r="J45" s="198"/>
      <c r="K45" s="198"/>
      <c r="L45" s="198"/>
      <c r="M45" s="198"/>
      <c r="N45" s="198"/>
      <c r="O45" s="216"/>
      <c r="P45" s="216"/>
      <c r="Q45" s="216"/>
      <c r="R45" s="163"/>
      <c r="S45" s="160"/>
      <c r="T45" s="160"/>
      <c r="U45" s="160"/>
      <c r="V45" s="160"/>
      <c r="W45" s="160"/>
      <c r="X45" s="160"/>
      <c r="Y45" s="160"/>
      <c r="Z45" s="160"/>
    </row>
    <row r="46" spans="2:26" s="42" customFormat="1">
      <c r="B46" s="197"/>
      <c r="C46" s="215"/>
      <c r="D46" s="198"/>
      <c r="E46" s="198"/>
      <c r="F46" s="198"/>
      <c r="G46" s="198"/>
      <c r="H46" s="198"/>
      <c r="I46" s="198"/>
      <c r="J46" s="198"/>
      <c r="K46" s="198"/>
      <c r="L46" s="198"/>
      <c r="M46" s="198"/>
      <c r="N46" s="198"/>
      <c r="O46" s="216"/>
      <c r="P46" s="216"/>
      <c r="Q46" s="216"/>
      <c r="R46" s="163"/>
      <c r="S46" s="160"/>
      <c r="T46" s="160"/>
      <c r="U46" s="160"/>
      <c r="V46" s="160"/>
      <c r="W46" s="160"/>
      <c r="X46" s="160"/>
      <c r="Y46" s="160"/>
      <c r="Z46" s="160"/>
    </row>
    <row r="47" spans="2:26" s="42" customFormat="1">
      <c r="B47" s="197"/>
      <c r="C47" s="215"/>
      <c r="D47" s="198"/>
      <c r="E47" s="198"/>
      <c r="F47" s="198"/>
      <c r="G47" s="198"/>
      <c r="H47" s="198"/>
      <c r="I47" s="198"/>
      <c r="J47" s="198"/>
      <c r="K47" s="198"/>
      <c r="L47" s="198"/>
      <c r="M47" s="198"/>
      <c r="N47" s="198"/>
      <c r="O47" s="216"/>
      <c r="P47" s="216"/>
      <c r="Q47" s="216"/>
      <c r="R47" s="163"/>
      <c r="S47" s="160"/>
      <c r="T47" s="160"/>
      <c r="U47" s="160"/>
      <c r="V47" s="160"/>
      <c r="W47" s="160"/>
      <c r="X47" s="160"/>
      <c r="Y47" s="160"/>
      <c r="Z47" s="160"/>
    </row>
    <row r="48" spans="2:26" s="42" customFormat="1">
      <c r="B48" s="197"/>
      <c r="C48" s="215"/>
      <c r="D48" s="198"/>
      <c r="E48" s="198"/>
      <c r="F48" s="198"/>
      <c r="G48" s="198"/>
      <c r="H48" s="198"/>
      <c r="I48" s="198"/>
      <c r="J48" s="198"/>
      <c r="K48" s="198"/>
      <c r="L48" s="198"/>
      <c r="M48" s="198"/>
      <c r="N48" s="198"/>
      <c r="O48" s="216"/>
      <c r="P48" s="216"/>
      <c r="Q48" s="216"/>
      <c r="R48" s="163"/>
      <c r="S48" s="160"/>
      <c r="T48" s="160"/>
      <c r="U48" s="160"/>
      <c r="V48" s="160"/>
      <c r="W48" s="160"/>
      <c r="X48" s="160"/>
      <c r="Y48" s="160"/>
      <c r="Z48" s="160"/>
    </row>
    <row r="49" spans="2:26" s="42" customFormat="1">
      <c r="B49" s="197"/>
      <c r="C49" s="215"/>
      <c r="D49" s="198"/>
      <c r="E49" s="198"/>
      <c r="F49" s="198"/>
      <c r="G49" s="198"/>
      <c r="H49" s="198"/>
      <c r="I49" s="198"/>
      <c r="J49" s="198"/>
      <c r="K49" s="198"/>
      <c r="L49" s="198"/>
      <c r="M49" s="198"/>
      <c r="N49" s="198"/>
      <c r="O49" s="216"/>
      <c r="P49" s="216"/>
      <c r="Q49" s="216"/>
      <c r="R49" s="163"/>
      <c r="S49" s="160"/>
      <c r="T49" s="160"/>
      <c r="U49" s="160"/>
      <c r="V49" s="160"/>
      <c r="W49" s="160"/>
      <c r="X49" s="160"/>
      <c r="Y49" s="160"/>
      <c r="Z49" s="160"/>
    </row>
    <row r="50" spans="2:26" s="42" customFormat="1">
      <c r="B50" s="197"/>
      <c r="C50" s="215"/>
      <c r="D50" s="198"/>
      <c r="E50" s="198"/>
      <c r="F50" s="198"/>
      <c r="G50" s="198"/>
      <c r="H50" s="198"/>
      <c r="I50" s="198"/>
      <c r="J50" s="198"/>
      <c r="K50" s="198"/>
      <c r="L50" s="198"/>
      <c r="M50" s="198"/>
      <c r="N50" s="198"/>
      <c r="O50" s="216"/>
      <c r="P50" s="216"/>
      <c r="Q50" s="216"/>
      <c r="R50" s="163"/>
      <c r="S50" s="160"/>
      <c r="T50" s="160"/>
      <c r="U50" s="160"/>
      <c r="V50" s="160"/>
      <c r="W50" s="160"/>
      <c r="X50" s="160"/>
      <c r="Y50" s="160"/>
      <c r="Z50" s="160"/>
    </row>
    <row r="51" spans="2:26" s="42" customFormat="1">
      <c r="B51" s="197"/>
      <c r="C51" s="215"/>
      <c r="D51" s="198"/>
      <c r="E51" s="198"/>
      <c r="F51" s="198"/>
      <c r="G51" s="198"/>
      <c r="H51" s="198"/>
      <c r="I51" s="198"/>
      <c r="J51" s="198"/>
      <c r="K51" s="198"/>
      <c r="L51" s="198"/>
      <c r="M51" s="198"/>
      <c r="N51" s="198"/>
      <c r="O51" s="216"/>
      <c r="P51" s="216"/>
      <c r="Q51" s="216"/>
      <c r="R51" s="163"/>
      <c r="S51" s="160"/>
      <c r="T51" s="160"/>
      <c r="U51" s="160"/>
      <c r="V51" s="160"/>
      <c r="W51" s="160"/>
      <c r="X51" s="160"/>
      <c r="Y51" s="160"/>
      <c r="Z51" s="160"/>
    </row>
    <row r="52" spans="2:26" s="42" customFormat="1">
      <c r="B52" s="197"/>
      <c r="C52" s="215"/>
      <c r="D52" s="198"/>
      <c r="E52" s="198"/>
      <c r="F52" s="198"/>
      <c r="G52" s="198"/>
      <c r="H52" s="198"/>
      <c r="I52" s="198"/>
      <c r="J52" s="198"/>
      <c r="K52" s="198"/>
      <c r="L52" s="198"/>
      <c r="M52" s="198"/>
      <c r="N52" s="198"/>
      <c r="O52" s="216"/>
      <c r="P52" s="216"/>
      <c r="Q52" s="216"/>
      <c r="R52" s="163"/>
      <c r="S52" s="160"/>
      <c r="T52" s="160"/>
      <c r="U52" s="160"/>
      <c r="V52" s="160"/>
      <c r="W52" s="160"/>
      <c r="X52" s="160"/>
      <c r="Y52" s="160"/>
      <c r="Z52" s="160"/>
    </row>
    <row r="53" spans="2:26" s="42" customFormat="1">
      <c r="B53" s="197"/>
      <c r="C53" s="215"/>
      <c r="D53" s="198"/>
      <c r="E53" s="198"/>
      <c r="F53" s="198"/>
      <c r="G53" s="198"/>
      <c r="H53" s="198"/>
      <c r="I53" s="198"/>
      <c r="J53" s="198"/>
      <c r="K53" s="198"/>
      <c r="L53" s="198"/>
      <c r="M53" s="198"/>
      <c r="N53" s="198"/>
      <c r="O53" s="216"/>
      <c r="P53" s="216"/>
      <c r="Q53" s="216"/>
      <c r="R53" s="163"/>
      <c r="S53" s="160"/>
      <c r="T53" s="160"/>
      <c r="U53" s="160"/>
      <c r="V53" s="160"/>
      <c r="W53" s="160"/>
      <c r="X53" s="160"/>
      <c r="Y53" s="160"/>
      <c r="Z53" s="160"/>
    </row>
    <row r="54" spans="2:26" s="42" customFormat="1">
      <c r="B54" s="197"/>
      <c r="C54" s="215"/>
      <c r="D54" s="198"/>
      <c r="E54" s="198"/>
      <c r="F54" s="198"/>
      <c r="G54" s="198"/>
      <c r="H54" s="198"/>
      <c r="I54" s="198"/>
      <c r="J54" s="198"/>
      <c r="K54" s="198"/>
      <c r="L54" s="198"/>
      <c r="M54" s="198"/>
      <c r="N54" s="198"/>
      <c r="O54" s="216"/>
      <c r="P54" s="216"/>
      <c r="Q54" s="216"/>
      <c r="R54" s="163"/>
      <c r="S54" s="160"/>
      <c r="T54" s="160"/>
      <c r="U54" s="160"/>
      <c r="V54" s="160"/>
      <c r="W54" s="160"/>
      <c r="X54" s="160"/>
      <c r="Y54" s="160"/>
      <c r="Z54" s="160"/>
    </row>
    <row r="55" spans="2:26" s="42" customFormat="1">
      <c r="B55" s="197"/>
      <c r="C55" s="215"/>
      <c r="D55" s="198"/>
      <c r="E55" s="198"/>
      <c r="F55" s="198"/>
      <c r="G55" s="198"/>
      <c r="H55" s="198"/>
      <c r="I55" s="198"/>
      <c r="J55" s="198"/>
      <c r="K55" s="198"/>
      <c r="L55" s="198"/>
      <c r="M55" s="198"/>
      <c r="N55" s="198"/>
      <c r="O55" s="216"/>
      <c r="P55" s="216"/>
      <c r="Q55" s="216"/>
      <c r="R55" s="163"/>
      <c r="S55" s="160"/>
      <c r="T55" s="160"/>
      <c r="U55" s="160"/>
      <c r="V55" s="160"/>
      <c r="W55" s="160"/>
      <c r="X55" s="160"/>
      <c r="Y55" s="160"/>
      <c r="Z55" s="160"/>
    </row>
    <row r="56" spans="2:26" s="42" customFormat="1">
      <c r="B56" s="197"/>
      <c r="C56" s="215"/>
      <c r="D56" s="198"/>
      <c r="E56" s="198"/>
      <c r="F56" s="198"/>
      <c r="G56" s="198"/>
      <c r="H56" s="198"/>
      <c r="I56" s="198"/>
      <c r="J56" s="198"/>
      <c r="K56" s="198"/>
      <c r="L56" s="198"/>
      <c r="M56" s="198"/>
      <c r="N56" s="198"/>
      <c r="O56" s="216"/>
      <c r="P56" s="216"/>
      <c r="Q56" s="216"/>
      <c r="R56" s="163"/>
      <c r="S56" s="160"/>
      <c r="T56" s="160"/>
      <c r="U56" s="160"/>
      <c r="V56" s="160"/>
      <c r="W56" s="160"/>
      <c r="X56" s="160"/>
      <c r="Y56" s="160"/>
      <c r="Z56" s="160"/>
    </row>
    <row r="57" spans="2:26" s="42" customFormat="1">
      <c r="B57" s="197"/>
      <c r="C57" s="215"/>
      <c r="D57" s="198"/>
      <c r="E57" s="198"/>
      <c r="F57" s="198"/>
      <c r="G57" s="198"/>
      <c r="H57" s="198"/>
      <c r="I57" s="198"/>
      <c r="J57" s="198"/>
      <c r="K57" s="198"/>
      <c r="L57" s="198"/>
      <c r="M57" s="198"/>
      <c r="N57" s="198"/>
      <c r="O57" s="216"/>
      <c r="P57" s="216"/>
      <c r="Q57" s="216"/>
      <c r="R57" s="163"/>
      <c r="S57" s="160"/>
      <c r="T57" s="160"/>
      <c r="U57" s="160"/>
      <c r="V57" s="160"/>
      <c r="W57" s="160"/>
      <c r="X57" s="160"/>
      <c r="Y57" s="160"/>
      <c r="Z57" s="160"/>
    </row>
    <row r="58" spans="2:26" s="42" customFormat="1">
      <c r="B58" s="197"/>
      <c r="C58" s="215"/>
      <c r="D58" s="198"/>
      <c r="E58" s="198"/>
      <c r="F58" s="198"/>
      <c r="G58" s="198"/>
      <c r="H58" s="198"/>
      <c r="I58" s="198"/>
      <c r="J58" s="198"/>
      <c r="K58" s="198"/>
      <c r="L58" s="198"/>
      <c r="M58" s="198"/>
      <c r="N58" s="198"/>
      <c r="O58" s="216"/>
      <c r="P58" s="216"/>
      <c r="Q58" s="216"/>
      <c r="R58" s="163"/>
      <c r="S58" s="160"/>
      <c r="T58" s="160"/>
      <c r="U58" s="160"/>
      <c r="V58" s="160"/>
      <c r="W58" s="160"/>
      <c r="X58" s="160"/>
      <c r="Y58" s="160"/>
      <c r="Z58" s="160"/>
    </row>
    <row r="59" spans="2:26" s="42" customFormat="1">
      <c r="B59" s="197"/>
      <c r="C59" s="215"/>
      <c r="D59" s="198"/>
      <c r="E59" s="198"/>
      <c r="F59" s="198"/>
      <c r="G59" s="198"/>
      <c r="H59" s="198"/>
      <c r="I59" s="198"/>
      <c r="J59" s="198"/>
      <c r="K59" s="198"/>
      <c r="L59" s="198"/>
      <c r="M59" s="198"/>
      <c r="N59" s="198"/>
      <c r="O59" s="216"/>
      <c r="P59" s="216"/>
      <c r="Q59" s="216"/>
      <c r="R59" s="163"/>
      <c r="S59" s="160"/>
      <c r="T59" s="160"/>
      <c r="U59" s="160"/>
      <c r="V59" s="160"/>
      <c r="W59" s="160"/>
      <c r="X59" s="160"/>
      <c r="Y59" s="160"/>
      <c r="Z59" s="160"/>
    </row>
    <row r="70" spans="2:26">
      <c r="K70" s="198" t="s">
        <v>51</v>
      </c>
    </row>
    <row r="73" spans="2:26" s="8" customFormat="1">
      <c r="B73" s="217"/>
      <c r="C73" s="217"/>
      <c r="D73" s="218"/>
      <c r="E73" s="218"/>
      <c r="F73" s="218"/>
      <c r="G73" s="218"/>
      <c r="H73" s="218"/>
      <c r="I73" s="218"/>
      <c r="J73" s="207"/>
      <c r="K73" s="207"/>
      <c r="L73" s="207"/>
      <c r="M73" s="207"/>
      <c r="N73" s="207"/>
      <c r="O73" s="219"/>
      <c r="P73" s="219"/>
      <c r="Q73" s="219"/>
      <c r="R73" s="164"/>
      <c r="S73" s="161"/>
      <c r="T73" s="161"/>
      <c r="U73" s="161"/>
      <c r="V73" s="161"/>
      <c r="W73" s="161"/>
      <c r="X73" s="161"/>
      <c r="Y73" s="161"/>
      <c r="Z73" s="161"/>
    </row>
    <row r="156" spans="1:26" s="16" customFormat="1">
      <c r="A156" s="13"/>
      <c r="B156" s="197"/>
      <c r="C156" s="197"/>
      <c r="D156" s="198"/>
      <c r="E156" s="198"/>
      <c r="F156" s="198"/>
      <c r="G156" s="198"/>
      <c r="H156" s="198"/>
      <c r="I156" s="198"/>
      <c r="J156" s="198"/>
      <c r="K156" s="198"/>
      <c r="L156" s="198"/>
      <c r="M156" s="198"/>
      <c r="N156" s="198"/>
      <c r="O156" s="216"/>
      <c r="P156" s="216"/>
      <c r="Q156" s="216"/>
      <c r="R156" s="165"/>
      <c r="S156" s="162"/>
      <c r="T156" s="162"/>
      <c r="U156" s="162"/>
      <c r="V156" s="162"/>
      <c r="W156" s="162"/>
      <c r="X156" s="162"/>
      <c r="Y156" s="162"/>
      <c r="Z156" s="162"/>
    </row>
  </sheetData>
  <sheetProtection algorithmName="SHA-512" hashValue="3Osx0PR43FKkaT4d2E4m2frazuOtHjj8XzOMETEo8NI/nJNgvy4MaSchMBjiQrSrA5oZPug/4AB0eQBtCbiNXQ==" saltValue="NscbOL2wUsD1cyJW37Y5PA==" spinCount="100000" sheet="1" objects="1" scenarios="1" selectLockedCells="1"/>
  <mergeCells count="8">
    <mergeCell ref="B9:C9"/>
    <mergeCell ref="O4:Q4"/>
    <mergeCell ref="O5:Q5"/>
    <mergeCell ref="O2:Q2"/>
    <mergeCell ref="O3:Q3"/>
    <mergeCell ref="O19:Q19"/>
    <mergeCell ref="O6:Q6"/>
    <mergeCell ref="O13:Q13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Model!$A$16:$A$26</xm:f>
          </x14:formula1>
          <xm:sqref>P11</xm:sqref>
        </x14:dataValidation>
        <x14:dataValidation type="list" allowBlank="1" showInputMessage="1" showErrorMessage="1" xr:uid="{00000000-0002-0000-0000-000001000000}">
          <x14:formula1>
            <xm:f>'Map Template'!$I$55:$I$58</xm:f>
          </x14:formula1>
          <xm:sqref>P10</xm:sqref>
        </x14:dataValidation>
        <x14:dataValidation type="list" allowBlank="1" showInputMessage="1" showErrorMessage="1" xr:uid="{00000000-0002-0000-0000-000002000000}">
          <x14:formula1>
            <xm:f>'Map Template'!$G$51:$G$56</xm:f>
          </x14:formula1>
          <xm:sqref>P7</xm:sqref>
        </x14:dataValidation>
        <x14:dataValidation type="list" allowBlank="1" showInputMessage="1" showErrorMessage="1" xr:uid="{00000000-0002-0000-0000-000003000000}">
          <x14:formula1>
            <xm:f>'Map Template'!$J$39:$J$46</xm:f>
          </x14:formula1>
          <xm:sqref>P12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9"/>
  <dimension ref="A1:P26"/>
  <sheetViews>
    <sheetView zoomScale="154" zoomScaleNormal="154" workbookViewId="0">
      <selection sqref="A1:N19"/>
    </sheetView>
  </sheetViews>
  <sheetFormatPr defaultRowHeight="15"/>
  <sheetData>
    <row r="1" spans="1:16" ht="15.75" thickBot="1">
      <c r="A1" s="100" t="s">
        <v>108</v>
      </c>
      <c r="B1" s="98"/>
      <c r="C1" s="99"/>
    </row>
    <row r="2" spans="1:16">
      <c r="A2" s="107" t="s">
        <v>81</v>
      </c>
      <c r="B2" s="108"/>
      <c r="C2" s="111" t="str">
        <f>GMOT!P11</f>
        <v>May</v>
      </c>
      <c r="D2" s="103"/>
    </row>
    <row r="3" spans="1:16">
      <c r="A3" s="109" t="s">
        <v>68</v>
      </c>
      <c r="B3" s="109"/>
      <c r="C3" s="112" t="s">
        <v>66</v>
      </c>
      <c r="D3" s="112" t="s">
        <v>67</v>
      </c>
    </row>
    <row r="4" spans="1:16">
      <c r="A4" s="259"/>
      <c r="B4" s="260"/>
      <c r="C4" s="113">
        <f>IF(C2="Jan",Model!B16,IF(C2="Feb",Model!B17,IF(C2="Mar",Model!B18,IF(C2="Apr",Model!B19,IF(C2="May",Model!B20,IF(C2="Jun",Model!B21,IF(C2="Jul",Model!B22,IF(C2="Aug",Model!B23,IF(C2="Sep",Model!B24,IF(C2="Oct",Model!B25,IF(C2="Annual",Model!B26,NA)))))))))))</f>
        <v>21.973500000000001</v>
      </c>
      <c r="D4" s="113">
        <f>IF(C2="Jan",Model!C16,IF(C2="Feb",Model!C17,IF(C2="Mar",Model!C18,IF(C2="Apr",Model!C19,IF(C2="May",Model!C20,IF(C2="Jun",Model!C21,IF(C2="Jul",Model!C22,IF(C2="Aug",Model!C23,IF(C2="Sep",Model!C24,IF(C2="Oct",Model!C25,IF(C2="Annual",Model!C26,NA)))))))))))</f>
        <v>-499.60828620000001</v>
      </c>
    </row>
    <row r="5" spans="1:16">
      <c r="A5" s="104" t="s">
        <v>71</v>
      </c>
      <c r="B5" s="104"/>
      <c r="C5" s="119">
        <v>2</v>
      </c>
      <c r="D5" s="103" t="s">
        <v>72</v>
      </c>
    </row>
    <row r="6" spans="1:16">
      <c r="A6" s="105" t="s">
        <v>69</v>
      </c>
      <c r="B6" s="105"/>
      <c r="C6" s="119">
        <v>15</v>
      </c>
      <c r="D6" s="103" t="s">
        <v>70</v>
      </c>
    </row>
    <row r="7" spans="1:16">
      <c r="A7" s="105" t="s">
        <v>73</v>
      </c>
      <c r="B7" s="105"/>
      <c r="C7" s="119">
        <v>173</v>
      </c>
      <c r="D7" s="103" t="s">
        <v>79</v>
      </c>
    </row>
    <row r="8" spans="1:16">
      <c r="A8" s="255" t="s">
        <v>216</v>
      </c>
      <c r="B8" s="256"/>
      <c r="C8" s="114">
        <f>GMOT!P14*C10</f>
        <v>217.6810064874</v>
      </c>
      <c r="D8" s="103"/>
    </row>
    <row r="9" spans="1:16">
      <c r="A9" s="105"/>
      <c r="B9" s="106"/>
      <c r="C9" s="103"/>
      <c r="D9" s="103"/>
    </row>
    <row r="10" spans="1:16">
      <c r="A10" s="105" t="s">
        <v>217</v>
      </c>
      <c r="B10" s="106"/>
      <c r="C10" s="103">
        <f>Model!C7/1000</f>
        <v>0.17299999999999999</v>
      </c>
      <c r="D10" s="103" t="s">
        <v>74</v>
      </c>
    </row>
    <row r="11" spans="1:16">
      <c r="A11" s="257"/>
      <c r="B11" s="258"/>
      <c r="C11" s="81">
        <f>GMOT!P21/60</f>
        <v>7.9101151986283896E-2</v>
      </c>
      <c r="D11" s="103" t="s">
        <v>76</v>
      </c>
    </row>
    <row r="12" spans="1:16">
      <c r="A12" s="105" t="s">
        <v>63</v>
      </c>
      <c r="B12" s="105"/>
      <c r="C12" s="83">
        <f>Model!C11*Model!C6</f>
        <v>1.1865172797942585</v>
      </c>
      <c r="D12" s="103" t="s">
        <v>206</v>
      </c>
    </row>
    <row r="13" spans="1:16">
      <c r="A13" s="105" t="s">
        <v>77</v>
      </c>
      <c r="B13" s="105"/>
      <c r="C13" s="179">
        <f>GMOT!P14*ABS(GMOT!$P$17)*Model!C10</f>
        <v>15.348056041391795</v>
      </c>
      <c r="D13" s="103" t="s">
        <v>206</v>
      </c>
      <c r="F13" s="7"/>
    </row>
    <row r="14" spans="1:16">
      <c r="A14" s="252" t="s">
        <v>65</v>
      </c>
      <c r="B14" s="253"/>
      <c r="C14" s="253"/>
      <c r="D14" s="254"/>
      <c r="F14" s="7"/>
    </row>
    <row r="15" spans="1:16">
      <c r="A15" s="110"/>
      <c r="B15" s="115" t="s">
        <v>66</v>
      </c>
      <c r="C15" s="115" t="s">
        <v>67</v>
      </c>
      <c r="D15" s="115" t="s">
        <v>142</v>
      </c>
      <c r="F15" s="77"/>
      <c r="L15" s="75"/>
      <c r="M15" s="75"/>
    </row>
    <row r="16" spans="1:16" ht="15.75">
      <c r="A16" s="110" t="s">
        <v>121</v>
      </c>
      <c r="B16" s="121">
        <v>13.9442</v>
      </c>
      <c r="C16" s="121">
        <v>154.70833189999999</v>
      </c>
      <c r="D16" s="116">
        <v>293.89999999999998</v>
      </c>
      <c r="F16" s="77"/>
      <c r="I16" s="75"/>
      <c r="P16" s="75"/>
    </row>
    <row r="17" spans="1:11" ht="15.75">
      <c r="A17" s="110" t="s">
        <v>122</v>
      </c>
      <c r="B17" s="121">
        <v>18.781600000000001</v>
      </c>
      <c r="C17" s="121">
        <v>-194.43628630000001</v>
      </c>
      <c r="D17" s="116">
        <v>300.5</v>
      </c>
    </row>
    <row r="18" spans="1:11" ht="15.75">
      <c r="A18" s="110" t="s">
        <v>123</v>
      </c>
      <c r="B18" s="121">
        <v>7.9007800000000001</v>
      </c>
      <c r="C18" s="121">
        <v>94.099490959999997</v>
      </c>
      <c r="D18" s="116">
        <v>136.69999999999999</v>
      </c>
    </row>
    <row r="19" spans="1:11" ht="15.75">
      <c r="A19" s="110" t="s">
        <v>124</v>
      </c>
      <c r="B19" s="121">
        <v>19.547599999999999</v>
      </c>
      <c r="C19" s="121">
        <v>-339.94945630000001</v>
      </c>
      <c r="D19" s="133">
        <v>358.7</v>
      </c>
    </row>
    <row r="20" spans="1:11" ht="15.75">
      <c r="A20" s="110" t="s">
        <v>125</v>
      </c>
      <c r="B20" s="121">
        <v>21.973500000000001</v>
      </c>
      <c r="C20" s="121">
        <v>-499.60828620000001</v>
      </c>
      <c r="D20" s="133">
        <v>363.4</v>
      </c>
    </row>
    <row r="21" spans="1:11" ht="15.75">
      <c r="A21" s="110" t="s">
        <v>126</v>
      </c>
      <c r="B21" s="121">
        <v>18.206499999999998</v>
      </c>
      <c r="C21" s="121">
        <v>-242.7401697</v>
      </c>
      <c r="D21" s="133">
        <v>381.1</v>
      </c>
    </row>
    <row r="22" spans="1:11" ht="15.75">
      <c r="A22" s="110" t="s">
        <v>127</v>
      </c>
      <c r="B22" s="121">
        <v>19.5886</v>
      </c>
      <c r="C22" s="121">
        <v>-244.6074682</v>
      </c>
      <c r="D22" s="133">
        <v>495.6</v>
      </c>
    </row>
    <row r="23" spans="1:11" ht="15.75">
      <c r="A23" s="110" t="s">
        <v>128</v>
      </c>
      <c r="B23" s="121">
        <v>19.8505</v>
      </c>
      <c r="C23" s="121">
        <v>-300.04764039999998</v>
      </c>
      <c r="D23" s="133">
        <v>291.39999999999998</v>
      </c>
      <c r="F23" s="76"/>
      <c r="G23" s="76"/>
      <c r="K23" s="76"/>
    </row>
    <row r="24" spans="1:11" ht="15.75">
      <c r="A24" s="110" t="s">
        <v>129</v>
      </c>
      <c r="B24" s="121">
        <v>18.415600000000001</v>
      </c>
      <c r="C24" s="121">
        <v>-256.28108689999999</v>
      </c>
      <c r="D24" s="133">
        <v>293.5</v>
      </c>
      <c r="F24" s="76"/>
      <c r="G24" s="76"/>
      <c r="K24" s="76"/>
    </row>
    <row r="25" spans="1:11" ht="16.5" thickBot="1">
      <c r="A25" s="110" t="s">
        <v>130</v>
      </c>
      <c r="B25" s="122">
        <v>24.216899999999999</v>
      </c>
      <c r="C25" s="122">
        <v>-594.81910200000004</v>
      </c>
      <c r="D25" s="133">
        <v>309.5</v>
      </c>
      <c r="F25" s="76"/>
      <c r="G25" s="76"/>
      <c r="K25" s="76"/>
    </row>
    <row r="26" spans="1:11" ht="15.75">
      <c r="A26" s="134" t="s">
        <v>143</v>
      </c>
      <c r="B26" s="135">
        <v>19.529</v>
      </c>
      <c r="C26" s="135">
        <v>-304.97000000000003</v>
      </c>
      <c r="D26" s="133">
        <v>371</v>
      </c>
    </row>
  </sheetData>
  <sheetProtection selectLockedCells="1"/>
  <mergeCells count="4">
    <mergeCell ref="A14:D14"/>
    <mergeCell ref="A8:B8"/>
    <mergeCell ref="A11:B11"/>
    <mergeCell ref="A4:B4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0" filterMode="1">
    <tabColor theme="9" tint="0.39997558519241921"/>
  </sheetPr>
  <dimension ref="A1:U48"/>
  <sheetViews>
    <sheetView zoomScale="81" zoomScaleNormal="81" workbookViewId="0">
      <selection sqref="A1:V48"/>
    </sheetView>
  </sheetViews>
  <sheetFormatPr defaultRowHeight="15"/>
  <cols>
    <col min="1" max="1" width="11.28515625" style="91" customWidth="1"/>
    <col min="2" max="2" width="7.5703125" style="91" customWidth="1"/>
    <col min="3" max="3" width="8.28515625" style="91" customWidth="1"/>
    <col min="4" max="5" width="8" customWidth="1"/>
    <col min="6" max="6" width="10.7109375" customWidth="1"/>
    <col min="7" max="7" width="6.7109375" customWidth="1"/>
    <col min="8" max="8" width="10.85546875" customWidth="1"/>
    <col min="9" max="9" width="6.28515625" customWidth="1"/>
    <col min="10" max="10" width="7.28515625" customWidth="1"/>
    <col min="11" max="11" width="8.28515625" customWidth="1"/>
    <col min="12" max="12" width="4.7109375" customWidth="1"/>
  </cols>
  <sheetData>
    <row r="1" spans="1:21" s="117" customFormat="1">
      <c r="A1" s="178" t="s">
        <v>195</v>
      </c>
      <c r="B1" s="91"/>
      <c r="D1" s="180" t="s">
        <v>196</v>
      </c>
      <c r="G1" s="22" t="s">
        <v>197</v>
      </c>
      <c r="H1" s="177">
        <v>43881</v>
      </c>
      <c r="J1" s="22" t="s">
        <v>198</v>
      </c>
    </row>
    <row r="2" spans="1:21" s="117" customFormat="1">
      <c r="D2" s="178" t="s">
        <v>199</v>
      </c>
      <c r="E2" s="91"/>
      <c r="F2" s="91">
        <f>GMOT!P7</f>
        <v>16</v>
      </c>
      <c r="G2" s="22" t="s">
        <v>200</v>
      </c>
    </row>
    <row r="3" spans="1:21" s="101" customFormat="1" ht="17.25">
      <c r="R3" s="175"/>
      <c r="S3" s="175"/>
      <c r="T3" s="175"/>
      <c r="U3" s="175"/>
    </row>
    <row r="4" spans="1:21">
      <c r="R4" s="13"/>
      <c r="S4" s="23"/>
      <c r="T4" s="23"/>
      <c r="U4" s="13"/>
    </row>
    <row r="5" spans="1:21" s="90" customFormat="1" ht="15.6" customHeight="1">
      <c r="R5" s="176"/>
      <c r="S5" s="176"/>
      <c r="T5" s="176"/>
      <c r="U5" s="176"/>
    </row>
    <row r="6" spans="1:21" s="91" customFormat="1">
      <c r="R6" s="23"/>
      <c r="S6" s="23"/>
      <c r="T6" s="23"/>
      <c r="U6" s="23"/>
    </row>
    <row r="7" spans="1:21" s="91" customFormat="1">
      <c r="R7" s="23"/>
      <c r="S7" s="23"/>
      <c r="T7" s="23"/>
      <c r="U7" s="23"/>
    </row>
    <row r="8" spans="1:21" s="91" customFormat="1">
      <c r="R8" s="23"/>
      <c r="S8" s="23"/>
      <c r="T8" s="23"/>
      <c r="U8" s="23"/>
    </row>
    <row r="9" spans="1:21">
      <c r="R9" s="13"/>
      <c r="S9" s="23"/>
      <c r="T9" s="23"/>
      <c r="U9" s="13"/>
    </row>
    <row r="10" spans="1:21">
      <c r="R10" s="13"/>
      <c r="S10" s="23"/>
      <c r="T10" s="23"/>
      <c r="U10" s="13"/>
    </row>
    <row r="11" spans="1:21">
      <c r="R11" s="13"/>
      <c r="S11" s="23"/>
      <c r="T11" s="23"/>
      <c r="U11" s="13"/>
    </row>
    <row r="12" spans="1:21">
      <c r="R12" s="13"/>
      <c r="S12" s="23"/>
      <c r="T12" s="23"/>
      <c r="U12" s="13"/>
    </row>
    <row r="13" spans="1:21">
      <c r="R13" s="13"/>
      <c r="S13" s="23"/>
      <c r="T13" s="23"/>
      <c r="U13" s="13"/>
    </row>
    <row r="14" spans="1:21">
      <c r="R14" s="13"/>
      <c r="S14" s="23"/>
      <c r="T14" s="23"/>
      <c r="U14" s="13"/>
    </row>
    <row r="15" spans="1:21">
      <c r="R15" s="13"/>
      <c r="S15" s="23"/>
      <c r="T15" s="23"/>
      <c r="U15" s="13"/>
    </row>
    <row r="16" spans="1:21">
      <c r="R16" s="13"/>
      <c r="S16" s="23"/>
      <c r="T16" s="23"/>
      <c r="U16" s="13"/>
    </row>
    <row r="17" spans="1:21">
      <c r="R17" s="13"/>
      <c r="S17" s="23"/>
      <c r="T17" s="23"/>
      <c r="U17" s="13"/>
    </row>
    <row r="18" spans="1:21">
      <c r="R18" s="13"/>
      <c r="S18" s="23"/>
      <c r="T18" s="23"/>
      <c r="U18" s="13"/>
    </row>
    <row r="19" spans="1:21">
      <c r="R19" s="13"/>
      <c r="S19" s="23"/>
      <c r="T19" s="23"/>
      <c r="U19" s="13"/>
    </row>
    <row r="20" spans="1:21">
      <c r="R20" s="13"/>
      <c r="S20" s="13"/>
      <c r="T20" s="13"/>
      <c r="U20" s="13"/>
    </row>
    <row r="21" spans="1:21">
      <c r="A21" s="261" t="s">
        <v>219</v>
      </c>
      <c r="B21" s="262"/>
      <c r="C21" s="262"/>
      <c r="D21" s="262"/>
      <c r="E21" s="263"/>
    </row>
    <row r="22" spans="1:21">
      <c r="A22" s="181" t="s">
        <v>221</v>
      </c>
      <c r="B22" s="181" t="s">
        <v>202</v>
      </c>
      <c r="C22" s="181" t="s">
        <v>203</v>
      </c>
      <c r="D22" s="181" t="s">
        <v>220</v>
      </c>
      <c r="E22" s="181" t="s">
        <v>204</v>
      </c>
    </row>
    <row r="23" spans="1:21">
      <c r="A23" s="181" t="s">
        <v>96</v>
      </c>
      <c r="B23" s="182">
        <v>405.53307314607559</v>
      </c>
      <c r="C23" s="182">
        <v>380.61339821507727</v>
      </c>
      <c r="D23" s="182">
        <v>344.7788878009103</v>
      </c>
      <c r="E23" s="183" t="s">
        <v>92</v>
      </c>
    </row>
    <row r="24" spans="1:21">
      <c r="A24" s="181" t="s">
        <v>97</v>
      </c>
      <c r="B24" s="184">
        <v>3.3794422762172966</v>
      </c>
      <c r="C24" s="184">
        <v>3.1717783184589772</v>
      </c>
      <c r="D24" s="184">
        <v>2.8731573983409193</v>
      </c>
      <c r="E24" s="183" t="s">
        <v>101</v>
      </c>
    </row>
    <row r="25" spans="1:21">
      <c r="A25" s="181" t="s">
        <v>207</v>
      </c>
      <c r="B25" s="184">
        <v>0.84486056905432416</v>
      </c>
      <c r="C25" s="184">
        <v>0.79294457961474429</v>
      </c>
      <c r="D25" s="184">
        <v>0.71828934958522983</v>
      </c>
      <c r="E25" s="183" t="s">
        <v>91</v>
      </c>
    </row>
    <row r="26" spans="1:21">
      <c r="A26" s="181" t="s">
        <v>208</v>
      </c>
      <c r="B26" s="184">
        <v>1.3287038766664463</v>
      </c>
      <c r="C26" s="184">
        <v>1.3287038766664463</v>
      </c>
      <c r="D26" s="184">
        <v>1.3287038766664463</v>
      </c>
      <c r="E26" s="183" t="s">
        <v>91</v>
      </c>
    </row>
    <row r="27" spans="1:21">
      <c r="A27" s="181" t="s">
        <v>218</v>
      </c>
      <c r="B27" s="184">
        <v>215.50744204167921</v>
      </c>
      <c r="C27" s="184">
        <v>215.55935803111879</v>
      </c>
      <c r="D27" s="184">
        <v>215.63401326114831</v>
      </c>
      <c r="E27" s="183" t="s">
        <v>91</v>
      </c>
      <c r="F27" s="102"/>
      <c r="G27" s="102"/>
      <c r="H27" s="102"/>
      <c r="I27" s="102"/>
      <c r="J27" s="102"/>
      <c r="K27" s="102"/>
      <c r="L27" s="102"/>
      <c r="M27" s="102"/>
    </row>
    <row r="28" spans="1:21">
      <c r="F28" s="102"/>
      <c r="G28" s="102"/>
      <c r="H28" s="102"/>
      <c r="I28" s="102"/>
      <c r="J28" s="102"/>
      <c r="K28" s="102"/>
      <c r="L28" s="102"/>
      <c r="M28" s="102"/>
    </row>
    <row r="29" spans="1:21">
      <c r="A29" s="185" t="s">
        <v>201</v>
      </c>
      <c r="B29" s="186"/>
      <c r="C29" s="186"/>
      <c r="D29" s="187"/>
    </row>
    <row r="30" spans="1:21" ht="28.5">
      <c r="A30" s="188" t="s">
        <v>110</v>
      </c>
      <c r="B30" s="189" t="s">
        <v>191</v>
      </c>
      <c r="C30" s="189" t="s">
        <v>192</v>
      </c>
      <c r="D30" s="187"/>
    </row>
    <row r="31" spans="1:21">
      <c r="A31" s="189" t="s">
        <v>45</v>
      </c>
      <c r="B31" s="182">
        <f>'Map Template'!U7</f>
        <v>582642.91358000005</v>
      </c>
      <c r="C31" s="182">
        <f>'Map Template'!V7</f>
        <v>600914.80507</v>
      </c>
      <c r="D31" s="187"/>
    </row>
    <row r="32" spans="1:21">
      <c r="A32" s="189">
        <v>1</v>
      </c>
      <c r="B32" s="189">
        <f>IF('Error simulator'!B2&gt;1,'Error simulator'!B2,"")</f>
        <v>582683</v>
      </c>
      <c r="C32" s="189">
        <f>IF('Error simulator'!C2&gt;1,'Error simulator'!C2,"")</f>
        <v>600926</v>
      </c>
      <c r="D32" s="187"/>
    </row>
    <row r="33" spans="1:4">
      <c r="A33" s="188">
        <v>2</v>
      </c>
      <c r="B33" s="189">
        <f>IF('Error simulator'!B3&gt;1,'Error simulator'!B3,"")</f>
        <v>582677</v>
      </c>
      <c r="C33" s="189">
        <f>IF('Error simulator'!C3&gt;1,'Error simulator'!C3,"")</f>
        <v>600948</v>
      </c>
      <c r="D33" s="187"/>
    </row>
    <row r="34" spans="1:4">
      <c r="A34" s="115">
        <v>3</v>
      </c>
      <c r="B34" s="115">
        <f>IF('Error simulator'!B4&gt;1,'Error simulator'!B4,"")</f>
        <v>582646</v>
      </c>
      <c r="C34" s="115">
        <f>IF('Error simulator'!C4&gt;1,'Error simulator'!C4,"")</f>
        <v>600955</v>
      </c>
    </row>
    <row r="35" spans="1:4">
      <c r="A35" s="115">
        <v>4</v>
      </c>
      <c r="B35" s="115">
        <f>IF('Error simulator'!B5&gt;1,'Error simulator'!B5,"")</f>
        <v>582687</v>
      </c>
      <c r="C35" s="115">
        <f>IF('Error simulator'!C5&gt;1,'Error simulator'!C5,"")</f>
        <v>600956</v>
      </c>
    </row>
    <row r="36" spans="1:4">
      <c r="A36" s="174">
        <v>5</v>
      </c>
      <c r="B36" s="115">
        <f>IF('Error simulator'!B6&gt;1,'Error simulator'!B6,"")</f>
        <v>582700</v>
      </c>
      <c r="C36" s="115">
        <f>IF('Error simulator'!C6&gt;1,'Error simulator'!C6,"")</f>
        <v>600922</v>
      </c>
    </row>
    <row r="37" spans="1:4">
      <c r="A37" s="115">
        <v>6</v>
      </c>
      <c r="B37" s="115">
        <f>IF('Error simulator'!B7&gt;1,'Error simulator'!B7,"")</f>
        <v>582707</v>
      </c>
      <c r="C37" s="115">
        <f>IF('Error simulator'!C7&gt;1,'Error simulator'!C7,"")</f>
        <v>600944</v>
      </c>
    </row>
    <row r="38" spans="1:4">
      <c r="A38" s="115">
        <v>7</v>
      </c>
      <c r="B38" s="115">
        <f>IF('Error simulator'!B8&gt;1,'Error simulator'!B8,"")</f>
        <v>582731</v>
      </c>
      <c r="C38" s="115">
        <f>IF('Error simulator'!C8&gt;1,'Error simulator'!C8,"")</f>
        <v>600917</v>
      </c>
    </row>
    <row r="39" spans="1:4">
      <c r="A39" s="174">
        <v>8</v>
      </c>
      <c r="B39" s="115">
        <f>IF('Error simulator'!B9&gt;1,'Error simulator'!B9,"")</f>
        <v>582729</v>
      </c>
      <c r="C39" s="115">
        <f>IF('Error simulator'!C9&gt;1,'Error simulator'!C9,"")</f>
        <v>600951</v>
      </c>
    </row>
    <row r="40" spans="1:4">
      <c r="A40" s="115">
        <v>9</v>
      </c>
      <c r="B40" s="115">
        <f>IF('Error simulator'!B10&gt;1,'Error simulator'!B10,"")</f>
        <v>582786</v>
      </c>
      <c r="C40" s="115">
        <f>IF('Error simulator'!C10&gt;1,'Error simulator'!C10,"")</f>
        <v>600936</v>
      </c>
    </row>
    <row r="41" spans="1:4">
      <c r="A41" s="115">
        <v>10</v>
      </c>
      <c r="B41" s="115">
        <f>IF('Error simulator'!B11&gt;1,'Error simulator'!B11,"")</f>
        <v>582766</v>
      </c>
      <c r="C41" s="115">
        <f>IF('Error simulator'!C11&gt;1,'Error simulator'!C11,"")</f>
        <v>600916</v>
      </c>
    </row>
    <row r="42" spans="1:4">
      <c r="A42" s="174">
        <v>11</v>
      </c>
      <c r="B42" s="115">
        <f>IF('Error simulator'!B12&gt;1,'Error simulator'!B12,"")</f>
        <v>582776</v>
      </c>
      <c r="C42" s="115">
        <f>IF('Error simulator'!C12&gt;1,'Error simulator'!C12,"")</f>
        <v>600941</v>
      </c>
    </row>
    <row r="43" spans="1:4">
      <c r="A43" s="115">
        <v>12</v>
      </c>
      <c r="B43" s="115">
        <f>IF('Error simulator'!B13&gt;1,'Error simulator'!B13,"")</f>
        <v>582755</v>
      </c>
      <c r="C43" s="115">
        <f>IF('Error simulator'!C13&gt;1,'Error simulator'!C13,"")</f>
        <v>600932</v>
      </c>
    </row>
    <row r="44" spans="1:4">
      <c r="A44" s="115">
        <v>13</v>
      </c>
      <c r="B44" s="115">
        <f>IF('Error simulator'!B14&gt;1,'Error simulator'!B14,"")</f>
        <v>582820</v>
      </c>
      <c r="C44" s="115">
        <f>IF('Error simulator'!C14&gt;1,'Error simulator'!C14,"")</f>
        <v>600920</v>
      </c>
    </row>
    <row r="45" spans="1:4">
      <c r="A45" s="174">
        <v>14</v>
      </c>
      <c r="B45" s="115">
        <f>IF('Error simulator'!B15&gt;1,'Error simulator'!B15,"")</f>
        <v>582824</v>
      </c>
      <c r="C45" s="115">
        <f>IF('Error simulator'!C15&gt;1,'Error simulator'!C15,"")</f>
        <v>600914</v>
      </c>
    </row>
    <row r="46" spans="1:4">
      <c r="A46" s="115">
        <v>15</v>
      </c>
      <c r="B46" s="115">
        <f>IF('Error simulator'!B16&gt;1,'Error simulator'!B16,"")</f>
        <v>582813</v>
      </c>
      <c r="C46" s="115">
        <f>IF('Error simulator'!C16&gt;1,'Error simulator'!C16,"")</f>
        <v>600940</v>
      </c>
    </row>
    <row r="47" spans="1:4">
      <c r="A47" s="115">
        <v>16</v>
      </c>
      <c r="B47" s="115">
        <f>IF('Error simulator'!B17&gt;1,'Error simulator'!B17,"")</f>
        <v>582840</v>
      </c>
      <c r="C47" s="115">
        <f>IF('Error simulator'!C17&gt;1,'Error simulator'!C17,"")</f>
        <v>600941</v>
      </c>
    </row>
    <row r="48" spans="1:4">
      <c r="A48" s="189" t="s">
        <v>46</v>
      </c>
      <c r="B48" s="182">
        <f>'Map Template'!U8</f>
        <v>582845.05923999997</v>
      </c>
      <c r="C48" s="182">
        <f>'Map Template'!V8</f>
        <v>600904.26309000002</v>
      </c>
      <c r="D48" s="187"/>
    </row>
  </sheetData>
  <autoFilter ref="A30:C48" xr:uid="{00000000-0009-0000-0000-000002000000}">
    <filterColumn colId="1">
      <customFilters>
        <customFilter operator="notEqual" val=" "/>
      </customFilters>
    </filterColumn>
  </autoFilter>
  <mergeCells count="1">
    <mergeCell ref="A21:E21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/>
  <dimension ref="A1:N41"/>
  <sheetViews>
    <sheetView zoomScale="70" zoomScaleNormal="70" workbookViewId="0">
      <pane ySplit="1" topLeftCell="A2" activePane="bottomLeft" state="frozen"/>
      <selection pane="bottomLeft" activeCell="I13" sqref="I13"/>
    </sheetView>
  </sheetViews>
  <sheetFormatPr defaultRowHeight="15"/>
  <cols>
    <col min="1" max="1" width="9.28515625" customWidth="1"/>
    <col min="2" max="4" width="9.28515625" style="117" customWidth="1"/>
    <col min="5" max="5" width="11" style="117" customWidth="1"/>
    <col min="6" max="6" width="9.28515625" style="117" customWidth="1"/>
    <col min="7" max="7" width="8.85546875" customWidth="1"/>
    <col min="8" max="8" width="8.85546875" style="117" customWidth="1"/>
    <col min="9" max="9" width="14.7109375" customWidth="1"/>
    <col min="10" max="10" width="8.85546875" style="117"/>
    <col min="11" max="11" width="10.85546875" customWidth="1"/>
    <col min="12" max="12" width="9.7109375" customWidth="1"/>
  </cols>
  <sheetData>
    <row r="1" spans="1:14" s="90" customFormat="1" ht="42" customHeight="1">
      <c r="A1" s="90" t="s">
        <v>162</v>
      </c>
      <c r="B1" s="90" t="s">
        <v>114</v>
      </c>
      <c r="C1" s="90" t="s">
        <v>115</v>
      </c>
      <c r="D1" s="90" t="s">
        <v>146</v>
      </c>
      <c r="E1" s="90" t="s">
        <v>147</v>
      </c>
      <c r="F1" s="90" t="s">
        <v>148</v>
      </c>
      <c r="G1" s="90" t="s">
        <v>149</v>
      </c>
      <c r="H1" s="90" t="s">
        <v>134</v>
      </c>
      <c r="I1" s="90" t="s">
        <v>145</v>
      </c>
    </row>
    <row r="2" spans="1:14" ht="30">
      <c r="A2">
        <v>1</v>
      </c>
      <c r="B2">
        <f>IF(GMOT!$P$7=16,'16'!C25,IF(GMOT!$P$7=12,'12'!D19,IF(GMOT!$P$7=8,'8'!O32,IF(GMOT!$P$7=4,'4'!K24,IF(GMOT!$P$7=1,'1'!B14,IF(GMOT!$P$7=2,'2'!H16,NA))))))</f>
        <v>582683</v>
      </c>
      <c r="C2">
        <f>IF(GMOT!$P$7=16,'16'!D25,IF(GMOT!$P$7=12,'12'!E19,IF(GMOT!$P$7=8,'8'!P32,IF(GMOT!$P$7=4,'4'!L24,IF(GMOT!$P$7=1,'1'!C14,IF(GMOT!$P$7=2,'2'!I16,NA))))))</f>
        <v>600926</v>
      </c>
      <c r="D2" s="76">
        <f>GMOT!P$8</f>
        <v>80</v>
      </c>
      <c r="E2" s="129">
        <v>1.6328660495448712E-2</v>
      </c>
      <c r="F2" s="117">
        <f>IF(E2=0,"NA",(D2*E2))</f>
        <v>1.3062928396358968</v>
      </c>
      <c r="G2" s="76">
        <f>IF(F2="NA","NA",D2-F2)</f>
        <v>78.693707160364099</v>
      </c>
      <c r="I2" s="147" t="s">
        <v>131</v>
      </c>
      <c r="J2"/>
    </row>
    <row r="3" spans="1:14">
      <c r="A3">
        <v>2</v>
      </c>
      <c r="B3" s="117">
        <f>IF(GMOT!$P$7=16,'16'!C26,IF(GMOT!$P$7=12,'12'!D20,IF(GMOT!$P$7=8,'8'!O33,IF(GMOT!$P$7=4,'4'!K25,IF(GMOT!$P$7=1,'1'!B15,IF(GMOT!$P$7=2,'2'!H17,NA))))))</f>
        <v>582677</v>
      </c>
      <c r="C3" s="117">
        <f>IF(GMOT!$P$7=16,'16'!D26,IF(GMOT!$P$7=12,'12'!E20,IF(GMOT!$P$7=8,'8'!P33,IF(GMOT!$P$7=4,'4'!L25,IF(GMOT!$P$7=1,'1'!C15,IF(GMOT!$P$7=2,'2'!I17,NA))))))</f>
        <v>600948</v>
      </c>
      <c r="D3" s="76">
        <f>GMOT!P$8</f>
        <v>80</v>
      </c>
      <c r="E3" s="129">
        <v>-0.10803444747854173</v>
      </c>
      <c r="F3" s="117">
        <f t="shared" ref="F3:F32" si="0">IF(E3=0,"NA",(D3*E3))</f>
        <v>-8.6427557982833374</v>
      </c>
      <c r="G3" s="76">
        <f t="shared" ref="G3:G33" si="1">IF(F3="NA","NA",D3-F3)</f>
        <v>88.642755798283332</v>
      </c>
      <c r="I3" s="76">
        <f>GMOT!P8</f>
        <v>80</v>
      </c>
      <c r="J3" t="s">
        <v>61</v>
      </c>
    </row>
    <row r="4" spans="1:14">
      <c r="A4">
        <v>3</v>
      </c>
      <c r="B4" s="117">
        <f>IF(GMOT!$P$7=16,'16'!C27,IF(GMOT!$P$7=12,'12'!D21,IF(GMOT!$P$7=8,'8'!O34,IF(GMOT!$P$7=4,'4'!K26,IF(GMOT!$P$7=1,'1'!B16,IF(GMOT!$P$7=2,'2'!H18,NA))))))</f>
        <v>582646</v>
      </c>
      <c r="C4" s="117">
        <f>IF(GMOT!$P$7=16,'16'!D27,IF(GMOT!$P$7=12,'12'!E21,IF(GMOT!$P$7=8,'8'!P34,IF(GMOT!$P$7=4,'4'!L26,IF(GMOT!$P$7=1,'1'!C16,IF(GMOT!$P$7=2,'2'!I18,NA))))))</f>
        <v>600955</v>
      </c>
      <c r="D4" s="76">
        <f>GMOT!P$8</f>
        <v>80</v>
      </c>
      <c r="E4" s="129">
        <v>-2.6994099050651029E-2</v>
      </c>
      <c r="F4" s="117">
        <f t="shared" si="0"/>
        <v>-2.1595279240520822</v>
      </c>
      <c r="G4" s="76">
        <f t="shared" si="1"/>
        <v>82.159527924052085</v>
      </c>
      <c r="I4" s="45" t="s">
        <v>164</v>
      </c>
      <c r="J4" s="45"/>
    </row>
    <row r="5" spans="1:14">
      <c r="A5">
        <v>4</v>
      </c>
      <c r="B5" s="117">
        <f>IF(GMOT!$P$7=16,'16'!C28,IF(GMOT!$P$7=12,'12'!D22,IF(GMOT!$P$7=8,'8'!O35,IF(GMOT!$P$7=4,'4'!K27,IF(GMOT!$P$7=1,'1'!B17,IF(GMOT!$P$7=2,'2'!H19,NA))))))</f>
        <v>582687</v>
      </c>
      <c r="C5" s="117">
        <f>IF(GMOT!$P$7=16,'16'!D28,IF(GMOT!$P$7=12,'12'!E22,IF(GMOT!$P$7=8,'8'!P35,IF(GMOT!$P$7=4,'4'!L27,IF(GMOT!$P$7=1,'1'!C17,IF(GMOT!$P$7=2,'2'!I19,NA))))))</f>
        <v>600956</v>
      </c>
      <c r="D5" s="76">
        <f>GMOT!P$8</f>
        <v>80</v>
      </c>
      <c r="E5" s="129">
        <v>-2.251831620457706E-2</v>
      </c>
      <c r="F5" s="117">
        <f t="shared" si="0"/>
        <v>-1.8014652963661648</v>
      </c>
      <c r="G5" s="76">
        <f t="shared" si="1"/>
        <v>81.80146529636616</v>
      </c>
      <c r="I5" s="125">
        <f>(I3-G34)/I3</f>
        <v>-5.1233242613445643E-3</v>
      </c>
      <c r="J5" s="117" t="s">
        <v>163</v>
      </c>
    </row>
    <row r="6" spans="1:14">
      <c r="A6" s="117">
        <v>5</v>
      </c>
      <c r="B6" s="117">
        <f>IF(GMOT!$P$7=16,'16'!C29,IF(GMOT!$P$7=12,'12'!D23,IF(GMOT!$P$7=8,'8'!O36,IF(GMOT!$P$7=4,'4'!K28,IF(GMOT!$P$7=1,'1'!B18,IF(GMOT!$P$7=2,'2'!H20,NA))))))</f>
        <v>582700</v>
      </c>
      <c r="C6" s="117">
        <f>IF(GMOT!$P$7=16,'16'!D29,IF(GMOT!$P$7=12,'12'!E23,IF(GMOT!$P$7=8,'8'!P36,IF(GMOT!$P$7=4,'4'!L28,IF(GMOT!$P$7=1,'1'!C18,IF(GMOT!$P$7=2,'2'!I20,NA))))))</f>
        <v>600922</v>
      </c>
      <c r="D6" s="76">
        <f>GMOT!P$8</f>
        <v>80</v>
      </c>
      <c r="E6" s="129">
        <v>-4.2311389938493982E-2</v>
      </c>
      <c r="F6" s="117">
        <f t="shared" si="0"/>
        <v>-3.3849111950795185</v>
      </c>
      <c r="G6" s="76">
        <f t="shared" si="1"/>
        <v>83.384911195079525</v>
      </c>
      <c r="I6" s="148" t="s">
        <v>132</v>
      </c>
      <c r="J6"/>
    </row>
    <row r="7" spans="1:14">
      <c r="A7" s="117">
        <v>6</v>
      </c>
      <c r="B7" s="117">
        <f>IF(GMOT!$P$7=16,'16'!C30,IF(GMOT!$P$7=12,'12'!D24,IF(GMOT!$P$7=8,'8'!O37,IF(GMOT!$P$7=4,'4'!K29,IF(GMOT!$P$7=1,'1'!B19,IF(GMOT!$P$7=2,'2'!H21,NA))))))</f>
        <v>582707</v>
      </c>
      <c r="C7" s="117">
        <f>IF(GMOT!$P$7=16,'16'!D30,IF(GMOT!$P$7=12,'12'!E24,IF(GMOT!$P$7=8,'8'!P37,IF(GMOT!$P$7=4,'4'!L29,IF(GMOT!$P$7=1,'1'!C19,IF(GMOT!$P$7=2,'2'!I21,NA))))))</f>
        <v>600944</v>
      </c>
      <c r="D7" s="76">
        <f>GMOT!P$8</f>
        <v>80</v>
      </c>
      <c r="E7" s="129">
        <v>6.5673652571491201E-2</v>
      </c>
      <c r="F7" s="117">
        <f t="shared" si="0"/>
        <v>5.2538922057192963</v>
      </c>
      <c r="G7" s="76">
        <f t="shared" si="1"/>
        <v>74.746107794280704</v>
      </c>
      <c r="I7" s="76">
        <f>(I3*Model!$C$4)+Model!$D$4</f>
        <v>1258.2717138</v>
      </c>
      <c r="J7" t="s">
        <v>133</v>
      </c>
    </row>
    <row r="8" spans="1:14">
      <c r="A8" s="117">
        <v>7</v>
      </c>
      <c r="B8" s="117">
        <f>IF(GMOT!$P$7=16,'16'!C31,IF(GMOT!$P$7=12,'12'!D25,IF(GMOT!$P$7=8,'8'!O38,IF(GMOT!$P$7=4,'4'!K30,IF(GMOT!$P$7=1,'1'!B20,IF(GMOT!$P$7=2,'2'!H22,NA))))))</f>
        <v>582731</v>
      </c>
      <c r="C8" s="117">
        <f>IF(GMOT!$P$7=16,'16'!D31,IF(GMOT!$P$7=12,'12'!E25,IF(GMOT!$P$7=8,'8'!P38,IF(GMOT!$P$7=4,'4'!L30,IF(GMOT!$P$7=1,'1'!C20,IF(GMOT!$P$7=2,'2'!I22,NA))))))</f>
        <v>600917</v>
      </c>
      <c r="D8" s="76">
        <f>GMOT!P$8</f>
        <v>80</v>
      </c>
      <c r="E8" s="129">
        <v>7.763680260106702E-2</v>
      </c>
      <c r="F8" s="117">
        <f t="shared" si="0"/>
        <v>6.2109442080853619</v>
      </c>
      <c r="G8" s="76">
        <f t="shared" si="1"/>
        <v>73.789055791914635</v>
      </c>
      <c r="I8" s="149" t="s">
        <v>157</v>
      </c>
      <c r="J8" s="149"/>
    </row>
    <row r="9" spans="1:14">
      <c r="A9" s="117">
        <v>8</v>
      </c>
      <c r="B9" s="117">
        <f>IF(GMOT!$P$7=16,'16'!C32,IF(GMOT!$P$7=12,'12'!D26,IF(GMOT!$P$7=8,'8'!O39,IF(GMOT!$P$7=4,'4'!K31,IF(GMOT!$P$7=1,'1'!B21,IF(GMOT!$P$7=2,'2'!H23,NA))))))</f>
        <v>582729</v>
      </c>
      <c r="C9" s="117">
        <f>IF(GMOT!$P$7=16,'16'!D32,IF(GMOT!$P$7=12,'12'!E26,IF(GMOT!$P$7=8,'8'!P39,IF(GMOT!$P$7=4,'4'!L31,IF(GMOT!$P$7=1,'1'!C21,IF(GMOT!$P$7=2,'2'!I23,NA))))))</f>
        <v>600951</v>
      </c>
      <c r="D9" s="76">
        <f>GMOT!P$8</f>
        <v>80</v>
      </c>
      <c r="E9" s="129">
        <v>4.0279257614079036E-3</v>
      </c>
      <c r="F9" s="117">
        <f t="shared" si="0"/>
        <v>0.32223406091263229</v>
      </c>
      <c r="G9" s="76">
        <f t="shared" si="1"/>
        <v>79.677765939087365</v>
      </c>
      <c r="I9" s="76">
        <f>(G34*Model!$C$4)+Model!$D$4</f>
        <v>1267.2779030525323</v>
      </c>
      <c r="J9" s="117" t="s">
        <v>133</v>
      </c>
      <c r="M9" s="159"/>
      <c r="N9" s="42"/>
    </row>
    <row r="10" spans="1:14">
      <c r="A10" s="117">
        <v>9</v>
      </c>
      <c r="B10" s="117">
        <f>IF(GMOT!$P$7=16,'16'!C33,IF(GMOT!$P$7=12,'12'!D27,IF(GMOT!$P$7=8,'8'!O40,IF(GMOT!$P$7=4,'4'!K32,IF(GMOT!$P$7=1,'1'!B22,IF(GMOT!$P$7=2,'2'!H24,NA))))))</f>
        <v>582786</v>
      </c>
      <c r="C10" s="117">
        <f>IF(GMOT!$P$7=16,'16'!D33,IF(GMOT!$P$7=12,'12'!E27,IF(GMOT!$P$7=8,'8'!P40,IF(GMOT!$P$7=4,'4'!L32,IF(GMOT!$P$7=1,'1'!C22,IF(GMOT!$P$7=2,'2'!I24,NA))))))</f>
        <v>600936</v>
      </c>
      <c r="D10" s="76">
        <f>GMOT!P$8</f>
        <v>80</v>
      </c>
      <c r="E10" s="129">
        <v>4.8545381050804109E-2</v>
      </c>
      <c r="F10" s="117">
        <f t="shared" si="0"/>
        <v>3.8836304840643288</v>
      </c>
      <c r="G10" s="76">
        <f t="shared" si="1"/>
        <v>76.116369515935673</v>
      </c>
      <c r="I10" s="149" t="s">
        <v>158</v>
      </c>
      <c r="J10" s="149"/>
      <c r="K10" s="149"/>
      <c r="M10" s="42"/>
    </row>
    <row r="11" spans="1:14">
      <c r="A11" s="117">
        <v>10</v>
      </c>
      <c r="B11" s="117">
        <f>IF(GMOT!$P$7=16,'16'!C34,IF(GMOT!$P$7=12,'12'!D28,IF(GMOT!$P$7=8,'8'!O41,IF(GMOT!$P$7=4,'4'!K33,IF(GMOT!$P$7=1,'1'!B23,IF(GMOT!$P$7=2,'2'!H25,NA))))))</f>
        <v>582766</v>
      </c>
      <c r="C11" s="117">
        <f>IF(GMOT!$P$7=16,'16'!D34,IF(GMOT!$P$7=12,'12'!E28,IF(GMOT!$P$7=8,'8'!P41,IF(GMOT!$P$7=4,'4'!L33,IF(GMOT!$P$7=1,'1'!C23,IF(GMOT!$P$7=2,'2'!I25,NA))))))</f>
        <v>600916</v>
      </c>
      <c r="D11" s="76">
        <f>GMOT!P$8</f>
        <v>80</v>
      </c>
      <c r="E11" s="129">
        <v>6.8966177052528096E-2</v>
      </c>
      <c r="F11" s="117">
        <f t="shared" si="0"/>
        <v>5.5172941642022479</v>
      </c>
      <c r="G11" s="76">
        <f t="shared" si="1"/>
        <v>74.482705835797759</v>
      </c>
      <c r="I11" s="125">
        <f>(I7-I9)/I7</f>
        <v>-7.1575869931411427E-3</v>
      </c>
      <c r="J11" s="117" t="s">
        <v>163</v>
      </c>
    </row>
    <row r="12" spans="1:14" ht="15.75" thickBot="1">
      <c r="A12" s="117">
        <v>11</v>
      </c>
      <c r="B12" s="117">
        <f>IF(GMOT!$P$7=16,'16'!C35,IF(GMOT!$P$7=12,'12'!D29,IF(GMOT!$P$7=8,'8'!O42,IF(GMOT!$P$7=4,'4'!K34,IF(GMOT!$P$7=1,'1'!B24,IF(GMOT!$P$7=2,'2'!H26,NA))))))</f>
        <v>582776</v>
      </c>
      <c r="C12" s="117">
        <f>IF(GMOT!$P$7=16,'16'!D35,IF(GMOT!$P$7=12,'12'!E29,IF(GMOT!$P$7=8,'8'!P42,IF(GMOT!$P$7=4,'4'!L34,IF(GMOT!$P$7=1,'1'!C24,IF(GMOT!$P$7=2,'2'!I26,NA))))))</f>
        <v>600941</v>
      </c>
      <c r="D12" s="76">
        <f>GMOT!P$8</f>
        <v>80</v>
      </c>
      <c r="E12" s="129">
        <v>3.1222254555574095E-2</v>
      </c>
      <c r="F12" s="117">
        <f t="shared" si="0"/>
        <v>2.4977803644459278</v>
      </c>
      <c r="G12" s="76">
        <f t="shared" si="1"/>
        <v>77.50221963555407</v>
      </c>
      <c r="I12" s="149" t="s">
        <v>159</v>
      </c>
      <c r="J12" s="149"/>
      <c r="K12" s="149"/>
    </row>
    <row r="13" spans="1:14" ht="15.75" thickBot="1">
      <c r="A13" s="117">
        <v>12</v>
      </c>
      <c r="B13" s="117">
        <f>IF(GMOT!$P$7=16,'16'!C36,IF(GMOT!$P$7=12,'12'!D30,IF(GMOT!$P$7=8,'8'!O43,IF(GMOT!$P$7=4,'4'!K35,IF(GMOT!$P$7=1,'1'!B25,IF(GMOT!$P$7=2,'2'!H27,NA))))))</f>
        <v>582755</v>
      </c>
      <c r="C13" s="117">
        <f>IF(GMOT!$P$7=16,'16'!D36,IF(GMOT!$P$7=12,'12'!E30,IF(GMOT!$P$7=8,'8'!P43,IF(GMOT!$P$7=4,'4'!L35,IF(GMOT!$P$7=1,'1'!C25,IF(GMOT!$P$7=2,'2'!I27,NA))))))</f>
        <v>600932</v>
      </c>
      <c r="D13" s="76">
        <f>GMOT!P$8</f>
        <v>80</v>
      </c>
      <c r="E13" s="129">
        <v>-6.9401214475372258E-2</v>
      </c>
      <c r="F13" s="117">
        <f t="shared" si="0"/>
        <v>-5.5520971580297811</v>
      </c>
      <c r="G13" s="76">
        <f t="shared" si="1"/>
        <v>85.552097158029781</v>
      </c>
      <c r="I13" s="125">
        <v>7.7664684920769389E-2</v>
      </c>
      <c r="J13" s="146" t="s">
        <v>160</v>
      </c>
      <c r="K13" s="126">
        <f>I7*I13</f>
        <v>97.723276196993524</v>
      </c>
      <c r="L13" s="117" t="s">
        <v>133</v>
      </c>
      <c r="M13" t="s">
        <v>163</v>
      </c>
    </row>
    <row r="14" spans="1:14">
      <c r="A14" s="117">
        <v>13</v>
      </c>
      <c r="B14" s="117">
        <f>IF(GMOT!$P$7=16,'16'!C37,IF(GMOT!$P$7=12,'12'!D31,IF(GMOT!$P$7=8,'8'!O44,IF(GMOT!$P$7=4,'4'!K36,IF(GMOT!$P$7=1,'1'!B26,IF(GMOT!$P$7=2,'2'!H28,NA))))))</f>
        <v>582820</v>
      </c>
      <c r="C14" s="117">
        <f>IF(GMOT!$P$7=16,'16'!D37,IF(GMOT!$P$7=12,'12'!E31,IF(GMOT!$P$7=8,'8'!P44,IF(GMOT!$P$7=4,'4'!L36,IF(GMOT!$P$7=1,'1'!C26,IF(GMOT!$P$7=2,'2'!I28,NA))))))</f>
        <v>600920</v>
      </c>
      <c r="D14" s="76">
        <f>GMOT!P$8</f>
        <v>80</v>
      </c>
      <c r="E14" s="129">
        <v>-1.4889803414597355E-4</v>
      </c>
      <c r="F14" s="117">
        <f t="shared" si="0"/>
        <v>-1.1911842731677884E-2</v>
      </c>
      <c r="G14" s="76">
        <f t="shared" si="1"/>
        <v>80.011911842731678</v>
      </c>
      <c r="I14" s="45" t="s">
        <v>161</v>
      </c>
      <c r="J14" s="45"/>
      <c r="K14" s="45"/>
      <c r="L14" s="45"/>
    </row>
    <row r="15" spans="1:14">
      <c r="A15" s="117">
        <v>14</v>
      </c>
      <c r="B15" s="117">
        <f>IF(GMOT!$P$7=16,'16'!C38,IF(GMOT!$P$7=12,'12'!D32,IF(GMOT!$P$7=8,'8'!O45,IF(GMOT!$P$7=4,'4'!K37,IF(GMOT!$P$7=1,'1'!B27,IF(GMOT!$P$7=2,'2'!H29,NA))))))</f>
        <v>582824</v>
      </c>
      <c r="C15" s="117">
        <f>IF(GMOT!$P$7=16,'16'!D38,IF(GMOT!$P$7=12,'12'!E32,IF(GMOT!$P$7=8,'8'!P45,IF(GMOT!$P$7=4,'4'!L37,IF(GMOT!$P$7=1,'1'!C27,IF(GMOT!$P$7=2,'2'!I29,NA))))))</f>
        <v>600914</v>
      </c>
      <c r="D15" s="76">
        <f>GMOT!P$8</f>
        <v>80</v>
      </c>
      <c r="E15" s="129">
        <v>-3.2760663085640851E-2</v>
      </c>
      <c r="F15" s="117">
        <f t="shared" si="0"/>
        <v>-2.6208530468512681</v>
      </c>
      <c r="G15" s="76">
        <f t="shared" si="1"/>
        <v>82.620853046851266</v>
      </c>
      <c r="I15" s="76">
        <f>I9-K13</f>
        <v>1169.5546268555388</v>
      </c>
      <c r="J15"/>
    </row>
    <row r="16" spans="1:14">
      <c r="A16" s="117">
        <v>15</v>
      </c>
      <c r="B16" s="117">
        <f>IF(GMOT!$P$7=16,'16'!C39,IF(GMOT!$P$7=12,'12'!D33,IF(GMOT!$P$7=8,'8'!O46,IF(GMOT!$P$7=4,'4'!K38,IF(GMOT!$P$7=1,'1'!B28,IF(GMOT!$P$7=2,'2'!H30,NA))))))</f>
        <v>582813</v>
      </c>
      <c r="C16" s="117">
        <f>IF(GMOT!$P$7=16,'16'!D39,IF(GMOT!$P$7=12,'12'!E33,IF(GMOT!$P$7=8,'8'!P46,IF(GMOT!$P$7=4,'4'!L38,IF(GMOT!$P$7=1,'1'!C28,IF(GMOT!$P$7=2,'2'!I30,NA))))))</f>
        <v>600940</v>
      </c>
      <c r="D16" s="76">
        <f>GMOT!P$8</f>
        <v>80</v>
      </c>
      <c r="E16" s="129">
        <v>-9.0315338746036866E-2</v>
      </c>
      <c r="F16" s="117">
        <f t="shared" si="0"/>
        <v>-7.2252270996829493</v>
      </c>
      <c r="G16" s="76">
        <f t="shared" si="1"/>
        <v>87.225227099682954</v>
      </c>
      <c r="I16" s="125">
        <f>(I7-I15)/I7</f>
        <v>7.0507097927628257E-2</v>
      </c>
      <c r="J16" s="76">
        <f>I7-I15</f>
        <v>88.717086944461244</v>
      </c>
      <c r="K16" t="s">
        <v>215</v>
      </c>
    </row>
    <row r="17" spans="1:10">
      <c r="A17" s="117">
        <v>16</v>
      </c>
      <c r="B17" s="117">
        <f>IF(GMOT!$P$7=16,'16'!C40,IF(GMOT!$P$7=12,'12'!D34,IF(GMOT!$P$7=8,'8'!O47,IF(GMOT!$P$7=4,'4'!K39,IF(GMOT!$P$7=1,'1'!B29,IF(GMOT!$P$7=2,'2'!H31,NA))))))</f>
        <v>582840</v>
      </c>
      <c r="C17" s="117">
        <f>IF(GMOT!$P$7=16,'16'!D40,IF(GMOT!$P$7=12,'12'!E34,IF(GMOT!$P$7=8,'8'!P47,IF(GMOT!$P$7=4,'4'!L39,IF(GMOT!$P$7=1,'1'!C29,IF(GMOT!$P$7=2,'2'!I31,NA))))))</f>
        <v>600941</v>
      </c>
      <c r="D17" s="76">
        <f>GMOT!P$8</f>
        <v>80</v>
      </c>
      <c r="E17" s="129">
        <v>-1.8896752563730402E-3</v>
      </c>
      <c r="F17" s="117">
        <f t="shared" si="0"/>
        <v>-0.15117402050984322</v>
      </c>
      <c r="G17" s="76">
        <f t="shared" si="1"/>
        <v>80.151174020509842</v>
      </c>
      <c r="J17"/>
    </row>
    <row r="18" spans="1:10">
      <c r="A18" s="117">
        <v>17</v>
      </c>
      <c r="D18" s="76">
        <f>GMOT!P$8</f>
        <v>80</v>
      </c>
      <c r="E18" s="129"/>
      <c r="F18" s="117" t="str">
        <f t="shared" si="0"/>
        <v>NA</v>
      </c>
      <c r="G18" s="76" t="str">
        <f t="shared" si="1"/>
        <v>NA</v>
      </c>
      <c r="J18"/>
    </row>
    <row r="19" spans="1:10">
      <c r="A19" s="117">
        <v>18</v>
      </c>
      <c r="D19" s="76">
        <f>GMOT!P$8</f>
        <v>80</v>
      </c>
      <c r="E19" s="129"/>
      <c r="F19" s="117" t="str">
        <f t="shared" si="0"/>
        <v>NA</v>
      </c>
      <c r="G19" s="76" t="str">
        <f t="shared" si="1"/>
        <v>NA</v>
      </c>
      <c r="J19"/>
    </row>
    <row r="20" spans="1:10">
      <c r="A20" s="117">
        <v>19</v>
      </c>
      <c r="D20" s="76">
        <f>GMOT!P$8</f>
        <v>80</v>
      </c>
      <c r="E20" s="129"/>
      <c r="F20" s="117" t="str">
        <f t="shared" si="0"/>
        <v>NA</v>
      </c>
      <c r="G20" s="76" t="str">
        <f t="shared" si="1"/>
        <v>NA</v>
      </c>
      <c r="J20"/>
    </row>
    <row r="21" spans="1:10">
      <c r="A21" s="117">
        <v>20</v>
      </c>
      <c r="D21" s="76">
        <f>GMOT!P$8</f>
        <v>80</v>
      </c>
      <c r="E21" s="129"/>
      <c r="F21" s="117" t="str">
        <f t="shared" si="0"/>
        <v>NA</v>
      </c>
      <c r="G21" s="76" t="str">
        <f t="shared" si="1"/>
        <v>NA</v>
      </c>
      <c r="J21"/>
    </row>
    <row r="22" spans="1:10">
      <c r="A22" s="117">
        <v>21</v>
      </c>
      <c r="D22" s="76">
        <f>GMOT!P$8</f>
        <v>80</v>
      </c>
      <c r="E22" s="129"/>
      <c r="F22" s="117" t="str">
        <f t="shared" si="0"/>
        <v>NA</v>
      </c>
      <c r="G22" s="76" t="str">
        <f t="shared" si="1"/>
        <v>NA</v>
      </c>
      <c r="J22"/>
    </row>
    <row r="23" spans="1:10">
      <c r="A23" s="117">
        <v>22</v>
      </c>
      <c r="D23" s="76">
        <f>GMOT!P$8</f>
        <v>80</v>
      </c>
      <c r="E23" s="129"/>
      <c r="F23" s="117" t="str">
        <f t="shared" si="0"/>
        <v>NA</v>
      </c>
      <c r="G23" s="76" t="str">
        <f t="shared" si="1"/>
        <v>NA</v>
      </c>
      <c r="J23"/>
    </row>
    <row r="24" spans="1:10">
      <c r="A24" s="117">
        <v>23</v>
      </c>
      <c r="D24" s="76">
        <f>GMOT!P$8</f>
        <v>80</v>
      </c>
      <c r="E24" s="129"/>
      <c r="F24" s="117" t="str">
        <f t="shared" si="0"/>
        <v>NA</v>
      </c>
      <c r="G24" s="76" t="str">
        <f t="shared" si="1"/>
        <v>NA</v>
      </c>
      <c r="J24"/>
    </row>
    <row r="25" spans="1:10">
      <c r="A25" s="117">
        <v>24</v>
      </c>
      <c r="D25" s="76">
        <f>GMOT!P$8</f>
        <v>80</v>
      </c>
      <c r="E25" s="129"/>
      <c r="F25" s="117" t="str">
        <f t="shared" si="0"/>
        <v>NA</v>
      </c>
      <c r="G25" s="76" t="str">
        <f t="shared" si="1"/>
        <v>NA</v>
      </c>
      <c r="H25" s="77"/>
      <c r="J25"/>
    </row>
    <row r="26" spans="1:10">
      <c r="A26" s="117">
        <v>25</v>
      </c>
      <c r="B26"/>
      <c r="C26"/>
      <c r="D26" s="76">
        <f>GMOT!P$8</f>
        <v>80</v>
      </c>
      <c r="E26" s="129"/>
      <c r="F26" s="117" t="str">
        <f t="shared" si="0"/>
        <v>NA</v>
      </c>
      <c r="G26" s="76" t="str">
        <f t="shared" si="1"/>
        <v>NA</v>
      </c>
      <c r="J26"/>
    </row>
    <row r="27" spans="1:10">
      <c r="A27" s="117">
        <v>26</v>
      </c>
      <c r="B27"/>
      <c r="C27"/>
      <c r="D27" s="76">
        <f>GMOT!P$8</f>
        <v>80</v>
      </c>
      <c r="E27" s="129"/>
      <c r="F27" s="117" t="str">
        <f t="shared" si="0"/>
        <v>NA</v>
      </c>
      <c r="G27" s="76" t="str">
        <f t="shared" si="1"/>
        <v>NA</v>
      </c>
      <c r="J27"/>
    </row>
    <row r="28" spans="1:10">
      <c r="A28" s="117">
        <v>27</v>
      </c>
      <c r="B28"/>
      <c r="C28"/>
      <c r="D28" s="76">
        <f>GMOT!P$8</f>
        <v>80</v>
      </c>
      <c r="E28" s="129"/>
      <c r="F28" s="117" t="str">
        <f t="shared" si="0"/>
        <v>NA</v>
      </c>
      <c r="G28" s="76" t="str">
        <f t="shared" si="1"/>
        <v>NA</v>
      </c>
      <c r="J28"/>
    </row>
    <row r="29" spans="1:10">
      <c r="A29" s="117">
        <v>28</v>
      </c>
      <c r="B29"/>
      <c r="C29"/>
      <c r="D29" s="76">
        <f>GMOT!P$8</f>
        <v>80</v>
      </c>
      <c r="E29" s="129"/>
      <c r="F29" s="117" t="str">
        <f t="shared" si="0"/>
        <v>NA</v>
      </c>
      <c r="G29" s="76" t="str">
        <f t="shared" si="1"/>
        <v>NA</v>
      </c>
      <c r="J29"/>
    </row>
    <row r="30" spans="1:10">
      <c r="A30" s="117">
        <v>29</v>
      </c>
      <c r="B30"/>
      <c r="C30"/>
      <c r="D30" s="76">
        <f>GMOT!P$8</f>
        <v>80</v>
      </c>
      <c r="E30" s="129"/>
      <c r="F30" s="117" t="str">
        <f t="shared" si="0"/>
        <v>NA</v>
      </c>
      <c r="G30" s="76" t="str">
        <f t="shared" si="1"/>
        <v>NA</v>
      </c>
      <c r="J30"/>
    </row>
    <row r="31" spans="1:10">
      <c r="A31" s="117">
        <v>30</v>
      </c>
      <c r="B31"/>
      <c r="C31"/>
      <c r="D31" s="76">
        <f>GMOT!P$8</f>
        <v>80</v>
      </c>
      <c r="E31" s="129"/>
      <c r="F31" s="117" t="str">
        <f t="shared" si="0"/>
        <v>NA</v>
      </c>
      <c r="G31" s="76" t="str">
        <f t="shared" si="1"/>
        <v>NA</v>
      </c>
      <c r="J31"/>
    </row>
    <row r="32" spans="1:10">
      <c r="A32" s="117">
        <v>31</v>
      </c>
      <c r="B32"/>
      <c r="C32"/>
      <c r="D32" s="76">
        <f>GMOT!P$8</f>
        <v>80</v>
      </c>
      <c r="E32" s="129"/>
      <c r="F32" s="117" t="str">
        <f t="shared" si="0"/>
        <v>NA</v>
      </c>
      <c r="G32" s="76" t="str">
        <f t="shared" si="1"/>
        <v>NA</v>
      </c>
      <c r="J32"/>
    </row>
    <row r="33" spans="1:10" ht="15.75" thickBot="1">
      <c r="A33" s="16">
        <v>32</v>
      </c>
      <c r="B33" s="16"/>
      <c r="C33" s="16"/>
      <c r="D33" s="137">
        <f>GMOT!P$8</f>
        <v>80</v>
      </c>
      <c r="E33" s="138"/>
      <c r="F33" s="16" t="str">
        <f>IF(E33=0,"NA",(D33*E33))</f>
        <v>NA</v>
      </c>
      <c r="G33" s="137" t="str">
        <f t="shared" si="1"/>
        <v>NA</v>
      </c>
      <c r="J33"/>
    </row>
    <row r="34" spans="1:10" ht="15.75" thickBot="1">
      <c r="A34" t="s">
        <v>138</v>
      </c>
      <c r="B34"/>
      <c r="C34"/>
      <c r="D34" s="76"/>
      <c r="E34" s="26">
        <f>AVERAGE(E2:E33)</f>
        <v>-5.1233242613444776E-3</v>
      </c>
      <c r="F34" s="26">
        <f>AVERAGE(F2:F33)</f>
        <v>-0.40986594090755801</v>
      </c>
      <c r="G34" s="136">
        <f>AVERAGE(G2:G33)</f>
        <v>80.409865940907565</v>
      </c>
      <c r="H34" s="31"/>
      <c r="I34" s="77"/>
      <c r="J34" s="126"/>
    </row>
    <row r="35" spans="1:10">
      <c r="A35" s="117"/>
      <c r="B35"/>
      <c r="C35"/>
      <c r="D35" s="76"/>
      <c r="E35" s="76"/>
      <c r="F35" s="76"/>
      <c r="I35" s="76"/>
    </row>
    <row r="36" spans="1:10">
      <c r="A36" s="117"/>
      <c r="B36"/>
      <c r="C36"/>
      <c r="D36" s="76"/>
      <c r="E36" s="76"/>
      <c r="F36" s="76"/>
      <c r="I36" s="76"/>
    </row>
    <row r="37" spans="1:10">
      <c r="A37" s="117"/>
      <c r="B37"/>
      <c r="C37"/>
      <c r="D37" s="76"/>
      <c r="E37" s="76"/>
      <c r="F37" s="76"/>
      <c r="I37" s="76"/>
    </row>
    <row r="38" spans="1:10">
      <c r="A38" s="117"/>
      <c r="B38"/>
      <c r="C38"/>
      <c r="D38" s="76"/>
      <c r="E38" s="76"/>
      <c r="F38" s="76"/>
      <c r="I38" s="76"/>
    </row>
    <row r="39" spans="1:10">
      <c r="A39" s="117"/>
      <c r="B39"/>
      <c r="C39"/>
      <c r="D39" s="76"/>
      <c r="E39" s="76"/>
      <c r="F39" s="76"/>
      <c r="I39" s="76"/>
    </row>
    <row r="40" spans="1:10">
      <c r="A40" s="117"/>
      <c r="B40"/>
      <c r="C40"/>
      <c r="D40" s="76"/>
      <c r="E40" s="76"/>
      <c r="F40" s="76"/>
      <c r="I40" s="76"/>
    </row>
    <row r="41" spans="1:10">
      <c r="A41" s="117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31" r:id="rId4" name="Button 3">
              <controlPr defaultSize="0" print="0" autoFill="0" autoPict="0" macro="[0]!simulate_samplerate_err">
                <anchor moveWithCells="1">
                  <from>
                    <xdr:col>14</xdr:col>
                    <xdr:colOff>609600</xdr:colOff>
                    <xdr:row>1</xdr:row>
                    <xdr:rowOff>209550</xdr:rowOff>
                  </from>
                  <to>
                    <xdr:col>17</xdr:col>
                    <xdr:colOff>609600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5" name="Button 4">
              <controlPr defaultSize="0" print="0" autoFill="0" autoPict="0" macro="[0]!simulate_HM_err">
                <anchor moveWithCells="1">
                  <from>
                    <xdr:col>15</xdr:col>
                    <xdr:colOff>0</xdr:colOff>
                    <xdr:row>7</xdr:row>
                    <xdr:rowOff>142875</xdr:rowOff>
                  </from>
                  <to>
                    <xdr:col>17</xdr:col>
                    <xdr:colOff>600075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6" name="Button 5">
              <controlPr defaultSize="0" print="0" autoFill="0" autoPict="0" macro="[0]!Error_est_loop">
                <anchor moveWithCells="1">
                  <from>
                    <xdr:col>8</xdr:col>
                    <xdr:colOff>57150</xdr:colOff>
                    <xdr:row>16</xdr:row>
                    <xdr:rowOff>133350</xdr:rowOff>
                  </from>
                  <to>
                    <xdr:col>10</xdr:col>
                    <xdr:colOff>161925</xdr:colOff>
                    <xdr:row>21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4"/>
  <dimension ref="A1:Y51"/>
  <sheetViews>
    <sheetView zoomScaleNormal="100" workbookViewId="0">
      <selection activeCell="G11" sqref="G11"/>
    </sheetView>
  </sheetViews>
  <sheetFormatPr defaultRowHeight="15"/>
  <cols>
    <col min="3" max="3" width="9.7109375" customWidth="1"/>
    <col min="5" max="5" width="15.28515625" customWidth="1"/>
    <col min="7" max="7" width="9.7109375" customWidth="1"/>
    <col min="10" max="10" width="11.85546875" style="117" customWidth="1"/>
    <col min="11" max="12" width="15.28515625" customWidth="1"/>
    <col min="14" max="14" width="11.5703125" customWidth="1"/>
    <col min="16" max="16" width="10.140625" customWidth="1"/>
    <col min="19" max="19" width="11.85546875" style="117" customWidth="1"/>
    <col min="20" max="21" width="15.28515625" style="117" customWidth="1"/>
    <col min="22" max="24" width="8.85546875" style="117"/>
    <col min="25" max="25" width="10.140625" style="117" customWidth="1"/>
  </cols>
  <sheetData>
    <row r="1" spans="1:25" ht="40.15" customHeight="1">
      <c r="A1" s="123" t="s">
        <v>110</v>
      </c>
      <c r="B1" s="124" t="s">
        <v>177</v>
      </c>
      <c r="C1" s="124" t="s">
        <v>153</v>
      </c>
      <c r="D1" s="124" t="s">
        <v>119</v>
      </c>
      <c r="E1" s="264" t="s">
        <v>181</v>
      </c>
      <c r="F1" s="264"/>
      <c r="J1" s="117" t="s">
        <v>110</v>
      </c>
      <c r="K1" s="22" t="s">
        <v>152</v>
      </c>
      <c r="L1" s="22" t="s">
        <v>119</v>
      </c>
      <c r="M1" t="s">
        <v>120</v>
      </c>
      <c r="T1" s="22"/>
      <c r="U1" s="22"/>
    </row>
    <row r="2" spans="1:25">
      <c r="A2">
        <v>1</v>
      </c>
      <c r="B2" s="77">
        <f ca="1">NORMINV(D2,$F$2,$F$3)</f>
        <v>0.25891180335456399</v>
      </c>
      <c r="C2" s="145">
        <f ca="1">($F$4+1)-(10^(B2))</f>
        <v>-0.12762761804791611</v>
      </c>
      <c r="D2" s="117">
        <f ca="1">(RANDBETWEEN($D$6,(1000-$P$5))/1000)</f>
        <v>0.68100000000000005</v>
      </c>
      <c r="E2" s="91" t="s">
        <v>165</v>
      </c>
      <c r="F2" s="150">
        <f>IF($A$9="Annual",'Map Template'!J55,IF($A$9="Monthly",'Map Template'!J56,"NA"))</f>
        <v>0.22864583168891861</v>
      </c>
      <c r="G2" s="117" t="s">
        <v>180</v>
      </c>
      <c r="H2" s="117"/>
      <c r="J2" s="117">
        <v>1</v>
      </c>
      <c r="K2" s="77">
        <f t="shared" ref="K2:K33" ca="1" si="0">NORMINV(L2,$N$2,$N$3)</f>
        <v>-7.3608749974672608E-2</v>
      </c>
      <c r="L2" s="117">
        <f t="shared" ref="L2:L33" ca="1" si="1">(RANDBETWEEN($P$5,(1000-$P$5))/1000)</f>
        <v>0.14099999999999999</v>
      </c>
      <c r="M2" s="131" t="s">
        <v>116</v>
      </c>
      <c r="N2" s="127">
        <f>IF(GMOT!P7=1,'Error Details'!E13,IF(GMOT!P7=4,E30,IF(GMOT!P7=8,'Error Details'!E21,IF(GMOT!P7=16,'Error Details'!O11,IF(GMOT!P7=24,'Error Details'!O12,IF(GMOT!P7=32,'Error Details'!O13,"NA"))))))</f>
        <v>1.0691252525174319E-3</v>
      </c>
      <c r="O2" t="s">
        <v>62</v>
      </c>
      <c r="P2" s="130" t="s">
        <v>139</v>
      </c>
      <c r="T2" s="77"/>
      <c r="V2" s="91"/>
      <c r="W2" s="127"/>
    </row>
    <row r="3" spans="1:25">
      <c r="B3" s="77"/>
      <c r="D3" s="117"/>
      <c r="E3" s="91" t="s">
        <v>166</v>
      </c>
      <c r="F3" s="151">
        <f>IF($A$9="Annual",'Map Template'!K55,IF($A$9="Monthly",'Map Template'!K56,"NA"))</f>
        <v>6.4327665702959946E-2</v>
      </c>
      <c r="G3" s="117" t="s">
        <v>180</v>
      </c>
      <c r="H3" s="117"/>
      <c r="J3" s="117">
        <v>2</v>
      </c>
      <c r="K3" s="77">
        <f t="shared" ca="1" si="0"/>
        <v>-9.8854111721138255E-2</v>
      </c>
      <c r="L3" s="117">
        <f t="shared" ca="1" si="1"/>
        <v>7.4999999999999997E-2</v>
      </c>
      <c r="M3" s="131" t="s">
        <v>117</v>
      </c>
      <c r="N3" s="139">
        <f>IF(GMOT!P7=1,'Error Details'!E15,IF(GMOT!P7=4,E32,IF(GMOT!P7=8,'Error Details'!E23,IF(GMOT!P7=16,'Error Details'!P11,IF(GMOT!P7=24,'Error Details'!P12,IF(GMOT!P7=32,'Error Details'!P13,"NA"))))))</f>
        <v>6.9413721749698093E-2</v>
      </c>
      <c r="O3" t="s">
        <v>62</v>
      </c>
      <c r="T3" s="77"/>
      <c r="V3" s="91"/>
      <c r="W3" s="31"/>
    </row>
    <row r="4" spans="1:25">
      <c r="B4" s="77"/>
      <c r="C4" s="117"/>
      <c r="E4" t="s">
        <v>176</v>
      </c>
      <c r="F4" s="151">
        <f>IF($A$9="Annual",'Map Template'!L55,IF($A$9="Monthly",'Map Template'!L56,"NA"))</f>
        <v>0.68751938672905555</v>
      </c>
      <c r="J4" s="117">
        <v>3</v>
      </c>
      <c r="K4" s="77">
        <f t="shared" ca="1" si="0"/>
        <v>-0.10513856056871343</v>
      </c>
      <c r="L4" s="117">
        <f t="shared" ca="1" si="1"/>
        <v>6.3E-2</v>
      </c>
      <c r="M4" t="s">
        <v>118</v>
      </c>
      <c r="T4" s="77"/>
    </row>
    <row r="5" spans="1:25">
      <c r="A5" s="117" t="s">
        <v>118</v>
      </c>
      <c r="B5" s="117"/>
      <c r="C5" s="117"/>
      <c r="D5" s="117"/>
      <c r="H5" s="145"/>
      <c r="J5" s="117">
        <v>4</v>
      </c>
      <c r="K5" s="77">
        <f t="shared" ca="1" si="0"/>
        <v>6.5673652571491201E-2</v>
      </c>
      <c r="L5" s="117">
        <f t="shared" ca="1" si="1"/>
        <v>0.82399999999999995</v>
      </c>
      <c r="P5" s="128">
        <v>25</v>
      </c>
      <c r="Q5" t="s">
        <v>137</v>
      </c>
      <c r="T5" s="77"/>
      <c r="Y5" s="128"/>
    </row>
    <row r="6" spans="1:25">
      <c r="A6" s="117"/>
      <c r="B6" s="117"/>
      <c r="C6" s="117"/>
      <c r="D6" s="128">
        <v>25</v>
      </c>
      <c r="E6" s="117" t="s">
        <v>137</v>
      </c>
      <c r="J6" s="117">
        <v>5</v>
      </c>
      <c r="K6" s="77">
        <f t="shared" ca="1" si="0"/>
        <v>3.0649644493000089E-2</v>
      </c>
      <c r="L6" s="117">
        <f t="shared" ca="1" si="1"/>
        <v>0.66500000000000004</v>
      </c>
      <c r="M6" s="78" t="s">
        <v>135</v>
      </c>
      <c r="Q6" s="78" t="s">
        <v>136</v>
      </c>
      <c r="T6" s="77"/>
      <c r="V6" s="78"/>
    </row>
    <row r="7" spans="1:25">
      <c r="A7" s="117" t="s">
        <v>156</v>
      </c>
      <c r="B7" s="77"/>
      <c r="C7" s="117"/>
      <c r="J7" s="117">
        <v>6</v>
      </c>
      <c r="K7" s="77">
        <f t="shared" ca="1" si="0"/>
        <v>-0.12209732694986518</v>
      </c>
      <c r="L7" s="117">
        <f t="shared" ca="1" si="1"/>
        <v>3.7999999999999999E-2</v>
      </c>
      <c r="T7" s="77"/>
    </row>
    <row r="8" spans="1:25">
      <c r="A8" s="148" t="s">
        <v>172</v>
      </c>
      <c r="B8" s="152"/>
      <c r="C8" s="117"/>
      <c r="J8" s="117">
        <v>7</v>
      </c>
      <c r="K8" s="77">
        <f t="shared" ca="1" si="0"/>
        <v>5.5612611352152112E-2</v>
      </c>
      <c r="L8" s="117">
        <f t="shared" ca="1" si="1"/>
        <v>0.78400000000000003</v>
      </c>
      <c r="N8" s="132" t="s">
        <v>144</v>
      </c>
      <c r="O8" s="132" t="s">
        <v>140</v>
      </c>
      <c r="P8" s="132" t="s">
        <v>117</v>
      </c>
      <c r="T8" s="77"/>
    </row>
    <row r="9" spans="1:25">
      <c r="A9" s="78" t="str">
        <f>IF(GMOT!P10="Annual","Annual",IF(GMOT!P10="Monthly","Monthly",IF(GMOT!P10="Optimum","Optimum")))</f>
        <v>Monthly</v>
      </c>
      <c r="B9" s="77"/>
      <c r="C9" s="77"/>
      <c r="J9" s="117">
        <v>8</v>
      </c>
      <c r="K9" s="77">
        <f t="shared" ca="1" si="0"/>
        <v>9.413592209559718E-2</v>
      </c>
      <c r="L9" s="117">
        <f t="shared" ca="1" si="1"/>
        <v>0.91</v>
      </c>
      <c r="N9" s="1">
        <v>1</v>
      </c>
      <c r="O9" s="1"/>
      <c r="P9" s="1"/>
      <c r="Q9" s="144"/>
      <c r="T9" s="77"/>
    </row>
    <row r="10" spans="1:25">
      <c r="A10" s="117"/>
      <c r="B10" s="77"/>
      <c r="C10" s="117"/>
      <c r="J10" s="117">
        <v>9</v>
      </c>
      <c r="K10" s="77">
        <f t="shared" ca="1" si="0"/>
        <v>4.4449640443528851E-2</v>
      </c>
      <c r="L10" s="117">
        <f t="shared" ca="1" si="1"/>
        <v>0.73399999999999999</v>
      </c>
      <c r="N10" s="1">
        <v>8</v>
      </c>
      <c r="O10" s="1"/>
      <c r="P10" s="1"/>
      <c r="T10" s="77"/>
    </row>
    <row r="11" spans="1:25">
      <c r="A11" s="142" t="s">
        <v>150</v>
      </c>
      <c r="B11" s="143"/>
      <c r="C11" s="142"/>
      <c r="D11" s="142"/>
      <c r="E11" s="142"/>
      <c r="J11" s="117">
        <v>10</v>
      </c>
      <c r="K11" s="77">
        <f t="shared" ca="1" si="0"/>
        <v>2.1182431746924E-2</v>
      </c>
      <c r="L11" s="117">
        <f t="shared" ca="1" si="1"/>
        <v>0.61399999999999999</v>
      </c>
      <c r="N11" s="1">
        <v>16</v>
      </c>
      <c r="O11" s="1">
        <v>1.0691252525174319E-3</v>
      </c>
      <c r="P11" s="1">
        <v>6.9413721749698093E-2</v>
      </c>
      <c r="T11" s="77"/>
    </row>
    <row r="12" spans="1:25" ht="35.450000000000003" customHeight="1">
      <c r="A12" s="124" t="s">
        <v>119</v>
      </c>
      <c r="B12" s="124" t="s">
        <v>151</v>
      </c>
      <c r="C12" s="123" t="s">
        <v>153</v>
      </c>
      <c r="D12" s="123"/>
      <c r="E12" s="124" t="s">
        <v>169</v>
      </c>
      <c r="F12" s="140" t="s">
        <v>154</v>
      </c>
      <c r="J12" s="117">
        <v>11</v>
      </c>
      <c r="K12" s="77">
        <f t="shared" ca="1" si="0"/>
        <v>3.4703112542428756E-2</v>
      </c>
      <c r="L12" s="117">
        <f t="shared" ca="1" si="1"/>
        <v>0.68600000000000005</v>
      </c>
      <c r="N12" s="1">
        <v>24</v>
      </c>
      <c r="O12" s="1">
        <v>-9.8800000000000003E-5</v>
      </c>
      <c r="P12" s="1">
        <v>5.6156443E-2</v>
      </c>
      <c r="T12" s="77"/>
    </row>
    <row r="13" spans="1:25">
      <c r="A13" s="117">
        <f ca="1">(RANDBETWEEN($F$13,(1000-$F$13))/1000)</f>
        <v>0.33400000000000002</v>
      </c>
      <c r="B13" s="117">
        <f ca="1">_xlfn.NORM.INV(A13,$E$13,$E$15)</f>
        <v>1.2395702034980693</v>
      </c>
      <c r="C13" s="117">
        <f ca="1">($F$16+1)-(B13^2)</f>
        <v>0.1420470345997551</v>
      </c>
      <c r="D13" s="117"/>
      <c r="E13" s="141">
        <v>1.2816087204466577</v>
      </c>
      <c r="F13" s="42">
        <v>25</v>
      </c>
      <c r="J13" s="117">
        <v>12</v>
      </c>
      <c r="K13" s="77">
        <f t="shared" ca="1" si="0"/>
        <v>-6.1158427392327387E-2</v>
      </c>
      <c r="L13" s="117">
        <f t="shared" ca="1" si="1"/>
        <v>0.185</v>
      </c>
      <c r="N13" s="1">
        <v>32</v>
      </c>
      <c r="O13" s="1">
        <v>3.1237779999999998E-3</v>
      </c>
      <c r="P13" s="1">
        <v>4.9081095999999998E-2</v>
      </c>
      <c r="Q13" s="130" t="s">
        <v>141</v>
      </c>
      <c r="T13" s="77"/>
    </row>
    <row r="14" spans="1:25">
      <c r="A14" s="117"/>
      <c r="B14" s="117"/>
      <c r="C14" s="117"/>
      <c r="D14" s="117"/>
      <c r="E14" s="22" t="s">
        <v>170</v>
      </c>
      <c r="F14" s="42"/>
      <c r="J14" s="117">
        <v>13</v>
      </c>
      <c r="K14" s="77">
        <f t="shared" ca="1" si="0"/>
        <v>8.4033986832115229E-2</v>
      </c>
      <c r="L14" s="117">
        <f t="shared" ca="1" si="1"/>
        <v>0.88400000000000001</v>
      </c>
      <c r="N14" s="1"/>
      <c r="O14" s="1"/>
      <c r="P14" s="1"/>
      <c r="T14" s="77"/>
    </row>
    <row r="15" spans="1:25">
      <c r="A15" s="117"/>
      <c r="B15" s="117"/>
      <c r="C15" s="117"/>
      <c r="D15" s="117"/>
      <c r="E15" s="78">
        <v>9.8015984232139697E-2</v>
      </c>
      <c r="F15" s="42" t="s">
        <v>171</v>
      </c>
      <c r="J15" s="117">
        <v>14</v>
      </c>
      <c r="K15" s="77">
        <f t="shared" ca="1" si="0"/>
        <v>-1.6516640070643039E-2</v>
      </c>
      <c r="L15" s="117">
        <f t="shared" ca="1" si="1"/>
        <v>0.4</v>
      </c>
      <c r="T15" s="77"/>
    </row>
    <row r="16" spans="1:25">
      <c r="A16" s="117"/>
      <c r="B16" s="117"/>
      <c r="C16" s="117"/>
      <c r="D16" s="117"/>
      <c r="E16" s="117"/>
      <c r="F16" s="78">
        <v>0.67858132400000004</v>
      </c>
      <c r="J16" s="117">
        <v>15</v>
      </c>
      <c r="K16" s="77">
        <f t="shared" ca="1" si="0"/>
        <v>4.1939453432213038E-2</v>
      </c>
      <c r="L16" s="117">
        <f t="shared" ca="1" si="1"/>
        <v>0.72199999999999998</v>
      </c>
      <c r="T16" s="77"/>
    </row>
    <row r="17" spans="1:20">
      <c r="A17" s="117"/>
      <c r="B17" s="77"/>
      <c r="C17" s="117"/>
      <c r="J17" s="117">
        <v>16</v>
      </c>
      <c r="K17" s="77">
        <f t="shared" ca="1" si="0"/>
        <v>-5.9023530773526754E-3</v>
      </c>
      <c r="L17" s="117">
        <f t="shared" ca="1" si="1"/>
        <v>0.46</v>
      </c>
      <c r="T17" s="77"/>
    </row>
    <row r="18" spans="1:20">
      <c r="A18" s="142" t="s">
        <v>155</v>
      </c>
      <c r="B18" s="143"/>
      <c r="C18" s="142"/>
      <c r="D18" s="142"/>
      <c r="E18" s="142"/>
      <c r="J18" s="117">
        <v>17</v>
      </c>
      <c r="K18" s="77">
        <f t="shared" ca="1" si="0"/>
        <v>3.1605135328588135E-2</v>
      </c>
      <c r="L18" s="117">
        <f t="shared" ca="1" si="1"/>
        <v>0.67</v>
      </c>
      <c r="T18" s="77"/>
    </row>
    <row r="19" spans="1:20" ht="45">
      <c r="A19" s="124" t="s">
        <v>119</v>
      </c>
      <c r="B19" s="124" t="s">
        <v>151</v>
      </c>
      <c r="C19" s="123" t="s">
        <v>153</v>
      </c>
      <c r="E19" s="124" t="s">
        <v>169</v>
      </c>
      <c r="J19" s="117">
        <v>18</v>
      </c>
      <c r="K19" s="77">
        <f t="shared" ca="1" si="0"/>
        <v>-1.223546542366798E-2</v>
      </c>
      <c r="L19" s="117">
        <f t="shared" ca="1" si="1"/>
        <v>0.42399999999999999</v>
      </c>
      <c r="T19" s="77"/>
    </row>
    <row r="20" spans="1:20">
      <c r="A20" s="117">
        <f ca="1">(RANDBETWEEN($F$21,(1000-$F$21))/1000)</f>
        <v>0.746</v>
      </c>
      <c r="B20" s="117">
        <f t="shared" ref="B20:B27" ca="1" si="2">_xlfn.NORM.INV(A20,$E$21,$E$23)</f>
        <v>1.1605937548462804</v>
      </c>
      <c r="C20" s="117">
        <f t="shared" ref="C20:C27" ca="1" si="3">($F$24+1)-(B20^2)</f>
        <v>-5.9086480788187901E-2</v>
      </c>
      <c r="E20" s="124"/>
      <c r="F20" s="140" t="s">
        <v>154</v>
      </c>
      <c r="J20" s="117">
        <v>19</v>
      </c>
      <c r="K20" s="77">
        <f t="shared" ca="1" si="0"/>
        <v>-2.934965381219479E-3</v>
      </c>
      <c r="L20" s="117">
        <f t="shared" ca="1" si="1"/>
        <v>0.47699999999999998</v>
      </c>
      <c r="T20" s="77"/>
    </row>
    <row r="21" spans="1:20">
      <c r="A21" s="117">
        <f t="shared" ref="A21:A27" ca="1" si="4">(RANDBETWEEN($F$21,(1000-$F$21))/1000)</f>
        <v>0.74299999999999999</v>
      </c>
      <c r="B21" s="117">
        <f t="shared" ca="1" si="2"/>
        <v>1.1601937727120692</v>
      </c>
      <c r="C21" s="117">
        <f t="shared" ca="1" si="3"/>
        <v>-5.8158207239864534E-2</v>
      </c>
      <c r="E21" s="141">
        <v>1.1322248023444261</v>
      </c>
      <c r="F21" s="42">
        <v>25</v>
      </c>
      <c r="J21" s="117">
        <v>20</v>
      </c>
      <c r="K21" s="77">
        <f t="shared" ca="1" si="0"/>
        <v>5.5612611352152112E-2</v>
      </c>
      <c r="L21" s="117">
        <f t="shared" ca="1" si="1"/>
        <v>0.78400000000000003</v>
      </c>
      <c r="T21" s="77"/>
    </row>
    <row r="22" spans="1:20">
      <c r="A22" s="117">
        <f t="shared" ca="1" si="4"/>
        <v>0.35099999999999998</v>
      </c>
      <c r="B22" s="117">
        <f t="shared" ca="1" si="2"/>
        <v>1.115827032258037</v>
      </c>
      <c r="C22" s="117">
        <f t="shared" ca="1" si="3"/>
        <v>4.2821417082221647E-2</v>
      </c>
      <c r="E22" s="22" t="s">
        <v>170</v>
      </c>
      <c r="F22" s="42"/>
      <c r="J22" s="117">
        <v>21</v>
      </c>
      <c r="K22" s="77">
        <f t="shared" ca="1" si="0"/>
        <v>-5.514876441917739E-2</v>
      </c>
      <c r="L22" s="117">
        <f t="shared" ca="1" si="1"/>
        <v>0.20899999999999999</v>
      </c>
      <c r="T22" s="77"/>
    </row>
    <row r="23" spans="1:20">
      <c r="A23" s="117">
        <f ca="1">(RANDBETWEEN($F$21,(1000-$F$21))/1000)</f>
        <v>0.36299999999999999</v>
      </c>
      <c r="B23" s="117">
        <f t="shared" ca="1" si="2"/>
        <v>1.1172057511016997</v>
      </c>
      <c r="C23" s="117">
        <f t="shared" ca="1" si="3"/>
        <v>3.9742692705287075E-2</v>
      </c>
      <c r="E23" s="78">
        <v>4.2856309530555532E-2</v>
      </c>
      <c r="F23" s="42" t="s">
        <v>171</v>
      </c>
      <c r="J23" s="117">
        <v>22</v>
      </c>
      <c r="K23" s="77">
        <f t="shared" ca="1" si="0"/>
        <v>-9.2859728990160567E-2</v>
      </c>
      <c r="L23" s="117">
        <f t="shared" ca="1" si="1"/>
        <v>8.7999999999999995E-2</v>
      </c>
      <c r="T23" s="77"/>
    </row>
    <row r="24" spans="1:20">
      <c r="A24" s="117">
        <f t="shared" ca="1" si="4"/>
        <v>0.68300000000000005</v>
      </c>
      <c r="B24" s="117">
        <f t="shared" ca="1" si="2"/>
        <v>1.1526288800292281</v>
      </c>
      <c r="C24" s="117">
        <f t="shared" ca="1" si="3"/>
        <v>-4.0661952077432728E-2</v>
      </c>
      <c r="E24" s="117"/>
      <c r="F24" s="78">
        <v>0.287891383</v>
      </c>
      <c r="J24" s="117">
        <v>23</v>
      </c>
      <c r="K24" s="77">
        <f t="shared" ca="1" si="0"/>
        <v>2.5765632988262361E-2</v>
      </c>
      <c r="L24" s="117">
        <f t="shared" ca="1" si="1"/>
        <v>0.63900000000000001</v>
      </c>
      <c r="T24" s="77"/>
    </row>
    <row r="25" spans="1:20">
      <c r="A25" s="117">
        <f t="shared" ca="1" si="4"/>
        <v>9.5000000000000001E-2</v>
      </c>
      <c r="B25" s="117">
        <f t="shared" ca="1" si="2"/>
        <v>1.0760582182490681</v>
      </c>
      <c r="C25" s="117">
        <f t="shared" ca="1" si="3"/>
        <v>0.12999009393864092</v>
      </c>
      <c r="E25" s="117"/>
      <c r="F25" s="117"/>
      <c r="J25" s="117">
        <v>24</v>
      </c>
      <c r="K25" s="77">
        <f t="shared" ca="1" si="0"/>
        <v>-4.8181505028950522E-2</v>
      </c>
      <c r="L25" s="117">
        <f t="shared" ca="1" si="1"/>
        <v>0.23899999999999999</v>
      </c>
      <c r="T25" s="77"/>
    </row>
    <row r="26" spans="1:20">
      <c r="A26" s="117">
        <f t="shared" ca="1" si="4"/>
        <v>4.2999999999999997E-2</v>
      </c>
      <c r="B26" s="117">
        <f t="shared" ca="1" si="2"/>
        <v>1.0586454037098625</v>
      </c>
      <c r="C26" s="117">
        <f t="shared" ca="1" si="3"/>
        <v>0.16716129220398224</v>
      </c>
      <c r="J26" s="117">
        <v>25</v>
      </c>
      <c r="K26" s="77">
        <f t="shared" ca="1" si="0"/>
        <v>2.5395257281309414E-2</v>
      </c>
      <c r="L26" s="117">
        <f t="shared" ca="1" si="1"/>
        <v>0.63700000000000001</v>
      </c>
    </row>
    <row r="27" spans="1:20">
      <c r="A27" s="117">
        <f t="shared" ca="1" si="4"/>
        <v>0.42199999999999999</v>
      </c>
      <c r="B27" s="117">
        <f t="shared" ca="1" si="2"/>
        <v>1.1237915540310384</v>
      </c>
      <c r="C27" s="117">
        <f t="shared" ca="1" si="3"/>
        <v>2.4983926088503861E-2</v>
      </c>
      <c r="J27" s="117">
        <v>26</v>
      </c>
      <c r="K27" s="77">
        <f t="shared" ca="1" si="0"/>
        <v>5.258411308388538E-2</v>
      </c>
      <c r="L27" s="117">
        <f t="shared" ca="1" si="1"/>
        <v>0.77100000000000002</v>
      </c>
    </row>
    <row r="28" spans="1:20">
      <c r="A28" s="142" t="s">
        <v>167</v>
      </c>
      <c r="B28" s="143"/>
      <c r="C28" s="142"/>
      <c r="D28" s="142"/>
      <c r="E28" s="142"/>
      <c r="J28" s="117">
        <v>27</v>
      </c>
      <c r="K28" s="77">
        <f t="shared" ca="1" si="0"/>
        <v>1.4550979509605051E-2</v>
      </c>
      <c r="L28" s="117">
        <f t="shared" ca="1" si="1"/>
        <v>0.57699999999999996</v>
      </c>
    </row>
    <row r="29" spans="1:20" ht="45">
      <c r="A29" s="124" t="s">
        <v>119</v>
      </c>
      <c r="B29" s="124" t="s">
        <v>151</v>
      </c>
      <c r="C29" s="123" t="s">
        <v>153</v>
      </c>
      <c r="E29" s="124" t="s">
        <v>169</v>
      </c>
      <c r="F29" s="140" t="s">
        <v>154</v>
      </c>
      <c r="J29" s="117">
        <v>28</v>
      </c>
      <c r="K29" s="77">
        <f t="shared" ca="1" si="0"/>
        <v>-3.0814409597400266E-2</v>
      </c>
      <c r="L29" s="117">
        <f t="shared" ca="1" si="1"/>
        <v>0.32300000000000001</v>
      </c>
    </row>
    <row r="30" spans="1:20">
      <c r="A30" s="117">
        <f ca="1">(RANDBETWEEN($F$30,(1000-$F$30))/1000)</f>
        <v>0.159</v>
      </c>
      <c r="B30" s="117">
        <f ca="1">_xlfn.NORM.INV(A30,$E$30,$E$32)</f>
        <v>1.1316261258685207</v>
      </c>
      <c r="C30" s="117">
        <f ca="1">($F$33+1)-(B30^2)</f>
        <v>0.13205605825180289</v>
      </c>
      <c r="E30" s="141">
        <v>1.1866730212199124</v>
      </c>
      <c r="F30" s="42">
        <v>25</v>
      </c>
      <c r="J30" s="117">
        <v>29</v>
      </c>
      <c r="K30" s="77">
        <f t="shared" ca="1" si="0"/>
        <v>0.13594927077417163</v>
      </c>
      <c r="L30" s="117">
        <f t="shared" ca="1" si="1"/>
        <v>0.97399999999999998</v>
      </c>
    </row>
    <row r="31" spans="1:20">
      <c r="A31" s="117">
        <f ca="1">(RANDBETWEEN($F$30,(1000-$F$30))/1000)</f>
        <v>0.187</v>
      </c>
      <c r="B31" s="117">
        <f ca="1">_xlfn.NORM.INV(A31,$E$30,$E$32)</f>
        <v>1.137666243411132</v>
      </c>
      <c r="C31" s="117">
        <f ca="1">($F$33+1)-(B31^2)</f>
        <v>0.11834926560280312</v>
      </c>
      <c r="E31" s="22" t="s">
        <v>170</v>
      </c>
      <c r="F31" s="42"/>
      <c r="J31" s="117">
        <v>30</v>
      </c>
      <c r="K31" s="77">
        <f t="shared" ca="1" si="0"/>
        <v>-6.1158427392327387E-2</v>
      </c>
      <c r="L31" s="117">
        <f t="shared" ca="1" si="1"/>
        <v>0.185</v>
      </c>
    </row>
    <row r="32" spans="1:20">
      <c r="A32" s="117">
        <f ca="1">(RANDBETWEEN($F$30,(1000-$F$30))/1000)</f>
        <v>0.31900000000000001</v>
      </c>
      <c r="B32" s="117">
        <f ca="1">_xlfn.NORM.INV(A32,$E$30,$E$32)</f>
        <v>1.1607366975583833</v>
      </c>
      <c r="C32" s="117">
        <f ca="1">($F$33+1)-(B32^2)</f>
        <v>6.5324065941258391E-2</v>
      </c>
      <c r="E32" s="78">
        <v>5.5125378973258962E-2</v>
      </c>
      <c r="F32" s="42" t="s">
        <v>171</v>
      </c>
      <c r="J32" s="117">
        <v>31</v>
      </c>
      <c r="K32" s="77">
        <f t="shared" ca="1" si="0"/>
        <v>1.9014465744858787E-2</v>
      </c>
      <c r="L32" s="117">
        <f t="shared" ca="1" si="1"/>
        <v>0.60199999999999998</v>
      </c>
    </row>
    <row r="33" spans="1:12">
      <c r="A33" s="117">
        <f ca="1">(RANDBETWEEN($F$30,(1000-$F$30))/1000)</f>
        <v>0.16</v>
      </c>
      <c r="B33" s="117">
        <f ca="1">_xlfn.NORM.INV(A33,$E$30,$E$32)</f>
        <v>1.13185315353503</v>
      </c>
      <c r="C33" s="117">
        <f ca="1">($F$33+1)-(B33^2)</f>
        <v>0.13154218583280786</v>
      </c>
      <c r="E33" s="117"/>
      <c r="F33" s="78">
        <v>0.412633747</v>
      </c>
      <c r="J33" s="117">
        <v>32</v>
      </c>
      <c r="K33" s="77">
        <f t="shared" ca="1" si="0"/>
        <v>2.7067583489105821E-2</v>
      </c>
      <c r="L33" s="117">
        <f t="shared" ca="1" si="1"/>
        <v>0.64600000000000002</v>
      </c>
    </row>
    <row r="34" spans="1:12">
      <c r="A34" s="142" t="s">
        <v>168</v>
      </c>
      <c r="B34" s="143"/>
      <c r="C34" s="142"/>
      <c r="D34" s="142"/>
      <c r="E34" s="142"/>
      <c r="F34" s="117"/>
    </row>
    <row r="35" spans="1:12" ht="45">
      <c r="A35" s="124" t="s">
        <v>119</v>
      </c>
      <c r="B35" s="124" t="s">
        <v>151</v>
      </c>
      <c r="C35" s="123" t="s">
        <v>153</v>
      </c>
      <c r="D35" s="117"/>
      <c r="E35" s="124" t="s">
        <v>169</v>
      </c>
      <c r="F35" s="140" t="s">
        <v>154</v>
      </c>
    </row>
    <row r="36" spans="1:12">
      <c r="A36" s="117">
        <f ca="1">(RANDBETWEEN($F$36,(1000-$F$36))/1000)</f>
        <v>0.33800000000000002</v>
      </c>
      <c r="B36" s="117">
        <f ca="1">_xlfn.NORM.INV(A36,$E$36,$E$38)</f>
        <v>1.19423301047708</v>
      </c>
      <c r="C36" s="117">
        <f ca="1">($F$39+1)-(B36^2)</f>
        <v>0.10181581544203722</v>
      </c>
      <c r="E36">
        <v>1.2285444887402446</v>
      </c>
      <c r="F36" s="42">
        <v>25</v>
      </c>
    </row>
    <row r="37" spans="1:12">
      <c r="A37" s="117">
        <f ca="1">(RANDBETWEEN($F$36,(1000-$F$36))/1000)</f>
        <v>0.71699999999999997</v>
      </c>
      <c r="B37" s="117">
        <f ca="1">_xlfn.NORM.INV(A37,$E$36,$E$38)</f>
        <v>1.2756654555217424</v>
      </c>
      <c r="C37" s="117">
        <f ca="1">($F$39+1)-(B37^2)</f>
        <v>-9.9314055656307909E-2</v>
      </c>
      <c r="E37" s="22" t="s">
        <v>170</v>
      </c>
    </row>
    <row r="38" spans="1:12">
      <c r="E38">
        <v>8.209908218353118E-2</v>
      </c>
      <c r="F38" s="42" t="s">
        <v>171</v>
      </c>
    </row>
    <row r="39" spans="1:12">
      <c r="F39">
        <v>0.52800829875518662</v>
      </c>
    </row>
    <row r="40" spans="1:12">
      <c r="A40" s="156" t="s">
        <v>178</v>
      </c>
      <c r="B40" s="156"/>
      <c r="C40" s="156"/>
      <c r="D40" s="156"/>
      <c r="E40" s="156"/>
      <c r="F40" s="156"/>
    </row>
    <row r="41" spans="1:12" ht="30">
      <c r="A41" s="123" t="s">
        <v>110</v>
      </c>
      <c r="B41" s="124" t="s">
        <v>179</v>
      </c>
      <c r="C41" s="124" t="s">
        <v>119</v>
      </c>
      <c r="E41" s="264" t="s">
        <v>183</v>
      </c>
      <c r="F41" s="264"/>
      <c r="G41" s="117"/>
      <c r="H41" s="117"/>
      <c r="I41" s="117"/>
    </row>
    <row r="42" spans="1:12">
      <c r="A42" s="117">
        <v>1</v>
      </c>
      <c r="B42" s="157">
        <f ca="1">NORMINV(C42,$F$42,$F$43)</f>
        <v>-4.8736456546944085E-2</v>
      </c>
      <c r="C42" s="117">
        <f ca="1">(RANDBETWEEN($A$45,(1000-$A$45))/1000)</f>
        <v>0.313</v>
      </c>
      <c r="E42" s="91" t="s">
        <v>182</v>
      </c>
      <c r="F42" s="150">
        <v>0</v>
      </c>
      <c r="G42" s="117"/>
      <c r="H42" s="117"/>
      <c r="I42" s="117"/>
    </row>
    <row r="43" spans="1:12">
      <c r="A43" s="117"/>
      <c r="B43" s="77"/>
      <c r="C43" s="117"/>
      <c r="D43" s="117"/>
      <c r="E43" s="91" t="s">
        <v>117</v>
      </c>
      <c r="F43" s="158">
        <v>0.1</v>
      </c>
      <c r="G43" s="117"/>
      <c r="H43" s="117"/>
      <c r="I43" s="117"/>
    </row>
    <row r="44" spans="1:12">
      <c r="A44" s="117" t="s">
        <v>118</v>
      </c>
      <c r="B44" s="117"/>
      <c r="C44" s="117"/>
      <c r="D44" s="117"/>
      <c r="H44" s="117"/>
      <c r="I44" s="117"/>
    </row>
    <row r="45" spans="1:12">
      <c r="A45" s="128">
        <v>25</v>
      </c>
      <c r="B45" s="117" t="s">
        <v>137</v>
      </c>
      <c r="C45" s="117"/>
      <c r="H45" s="117"/>
      <c r="I45" s="117"/>
    </row>
    <row r="46" spans="1:12">
      <c r="A46" s="156" t="s">
        <v>185</v>
      </c>
      <c r="B46" s="156"/>
      <c r="C46" s="156"/>
      <c r="D46" s="156"/>
      <c r="E46" s="156"/>
      <c r="F46" s="156"/>
    </row>
    <row r="47" spans="1:12" ht="30">
      <c r="A47" s="123" t="s">
        <v>110</v>
      </c>
      <c r="B47" s="124" t="s">
        <v>179</v>
      </c>
      <c r="C47" s="124" t="s">
        <v>119</v>
      </c>
      <c r="D47" s="117"/>
      <c r="E47" s="264" t="s">
        <v>183</v>
      </c>
      <c r="F47" s="264"/>
    </row>
    <row r="48" spans="1:12">
      <c r="A48" s="117">
        <v>1</v>
      </c>
      <c r="B48" s="157">
        <f ca="1">NORMINV(C48,$F$48,$F$49)</f>
        <v>0.56686088976968185</v>
      </c>
      <c r="C48" s="117">
        <f ca="1">(RANDBETWEEN($A$51,(1000-$A$51))/1000)</f>
        <v>0.81100000000000005</v>
      </c>
      <c r="D48" s="117"/>
      <c r="E48" s="91" t="s">
        <v>182</v>
      </c>
      <c r="F48" s="150">
        <v>0.25976326716344983</v>
      </c>
    </row>
    <row r="49" spans="1:6">
      <c r="A49" s="117"/>
      <c r="B49" s="77"/>
      <c r="C49" s="117"/>
      <c r="D49" s="117"/>
      <c r="E49" s="91" t="s">
        <v>117</v>
      </c>
      <c r="F49" s="158">
        <v>0.34834622304029572</v>
      </c>
    </row>
    <row r="50" spans="1:6">
      <c r="A50" s="117" t="s">
        <v>118</v>
      </c>
      <c r="B50" s="117"/>
      <c r="C50" s="117"/>
      <c r="D50" s="117"/>
      <c r="E50" s="117"/>
      <c r="F50" s="117"/>
    </row>
    <row r="51" spans="1:6">
      <c r="A51" s="128">
        <v>25</v>
      </c>
      <c r="B51" s="117" t="s">
        <v>137</v>
      </c>
      <c r="C51" s="117"/>
      <c r="D51" s="117"/>
      <c r="E51" s="117"/>
      <c r="F51" s="117"/>
    </row>
  </sheetData>
  <mergeCells count="3">
    <mergeCell ref="E1:F1"/>
    <mergeCell ref="E41:F41"/>
    <mergeCell ref="E47:F47"/>
  </mergeCells>
  <pageMargins left="0.7" right="0.7" top="0.75" bottom="0.75" header="0.3" footer="0.3"/>
  <pageSetup paperSize="9" orientation="portrait" horizontalDpi="0" verticalDpi="0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V77"/>
  <sheetViews>
    <sheetView showGridLines="0" showRuler="0" topLeftCell="A30" zoomScale="156" zoomScaleNormal="156" workbookViewId="0">
      <selection activeCell="I47" sqref="I47"/>
    </sheetView>
  </sheetViews>
  <sheetFormatPr defaultRowHeight="15"/>
  <cols>
    <col min="1" max="7" width="9.28515625" bestFit="1" customWidth="1"/>
    <col min="8" max="8" width="11.85546875" bestFit="1" customWidth="1"/>
    <col min="9" max="9" width="12.7109375" bestFit="1" customWidth="1"/>
    <col min="10" max="13" width="9.28515625" bestFit="1" customWidth="1"/>
  </cols>
  <sheetData>
    <row r="1" spans="1:22">
      <c r="A1" t="s">
        <v>40</v>
      </c>
      <c r="B1" t="s">
        <v>41</v>
      </c>
      <c r="T1" s="265"/>
      <c r="U1" s="265"/>
      <c r="V1" s="266"/>
    </row>
    <row r="2" spans="1:22">
      <c r="B2" s="1" t="s">
        <v>0</v>
      </c>
      <c r="C2" s="1" t="s">
        <v>1</v>
      </c>
      <c r="D2" s="1" t="s">
        <v>2</v>
      </c>
      <c r="E2" s="2" t="s">
        <v>19</v>
      </c>
      <c r="F2" s="2" t="s">
        <v>21</v>
      </c>
      <c r="T2" s="166" t="s">
        <v>98</v>
      </c>
      <c r="U2" s="166" t="s">
        <v>191</v>
      </c>
      <c r="V2" s="169" t="s">
        <v>192</v>
      </c>
    </row>
    <row r="3" spans="1:22">
      <c r="A3" s="3" t="s">
        <v>3</v>
      </c>
      <c r="B3" s="4">
        <v>38333</v>
      </c>
      <c r="C3" s="171">
        <f>'Map Template'!U3</f>
        <v>582642.91358000005</v>
      </c>
      <c r="D3" s="171">
        <f>'Map Template'!V3</f>
        <v>600914.80507</v>
      </c>
      <c r="E3" s="1">
        <f t="array" ref="E3:F3">LINEST(D3:D4,C3:C4,TRUE,FALSE)</f>
        <v>-5.2150414705831559E-2</v>
      </c>
      <c r="F3" s="1">
        <v>631299.87463861099</v>
      </c>
      <c r="T3" s="167" t="s">
        <v>3</v>
      </c>
      <c r="U3" s="168">
        <v>582642.91358000005</v>
      </c>
      <c r="V3" s="168">
        <v>600914.80507</v>
      </c>
    </row>
    <row r="4" spans="1:22">
      <c r="A4" s="3" t="s">
        <v>5</v>
      </c>
      <c r="B4" s="4">
        <v>38333</v>
      </c>
      <c r="C4" s="4">
        <f>'Map Template'!U6</f>
        <v>582845.05923999997</v>
      </c>
      <c r="D4" s="4">
        <f>'Map Template'!V6</f>
        <v>600904.26309000002</v>
      </c>
      <c r="E4" s="1" t="s">
        <v>20</v>
      </c>
      <c r="F4" s="2" t="s">
        <v>21</v>
      </c>
      <c r="T4" s="167" t="s">
        <v>4</v>
      </c>
      <c r="U4" s="168">
        <v>582645.16329000005</v>
      </c>
      <c r="V4" s="168">
        <v>600959.79617999995</v>
      </c>
    </row>
    <row r="5" spans="1:22">
      <c r="A5" s="5" t="s">
        <v>6</v>
      </c>
      <c r="B5" s="6">
        <v>38333</v>
      </c>
      <c r="C5" s="6">
        <f>'Map Template'!U5</f>
        <v>582847.37586000003</v>
      </c>
      <c r="D5" s="6">
        <f>'Map Template'!V5</f>
        <v>600949.18533000001</v>
      </c>
      <c r="E5" s="1">
        <f t="array" ref="E5:F5">LINEST(D5:D6,C5:C6,TRUE,FALSE)</f>
        <v>-5.2473740875458169E-2</v>
      </c>
      <c r="F5" s="1">
        <v>631533.36750081833</v>
      </c>
      <c r="T5" s="167" t="s">
        <v>6</v>
      </c>
      <c r="U5" s="168">
        <v>582847.37586000003</v>
      </c>
      <c r="V5" s="168">
        <v>600949.18533000001</v>
      </c>
    </row>
    <row r="6" spans="1:22">
      <c r="A6" s="5" t="s">
        <v>4</v>
      </c>
      <c r="B6" s="6">
        <v>38333</v>
      </c>
      <c r="C6" s="6">
        <f>'Map Template'!U4</f>
        <v>582645.16329000005</v>
      </c>
      <c r="D6" s="6">
        <f>'Map Template'!V4</f>
        <v>600959.79617999995</v>
      </c>
      <c r="T6" s="167" t="s">
        <v>5</v>
      </c>
      <c r="U6" s="168">
        <v>582845.05923999997</v>
      </c>
      <c r="V6" s="168">
        <v>600904.26309000002</v>
      </c>
    </row>
    <row r="7" spans="1:22">
      <c r="A7" t="s">
        <v>3</v>
      </c>
      <c r="B7" s="1">
        <v>38333</v>
      </c>
      <c r="C7" s="1">
        <f>C3</f>
        <v>582642.91358000005</v>
      </c>
      <c r="D7" s="1">
        <f>D3</f>
        <v>600914.80507</v>
      </c>
      <c r="T7" s="167" t="s">
        <v>27</v>
      </c>
      <c r="U7" s="168">
        <f>'Map Template'!B42</f>
        <v>582642.91358000005</v>
      </c>
      <c r="V7" s="168">
        <f>'Map Template'!C42</f>
        <v>600914.80507</v>
      </c>
    </row>
    <row r="8" spans="1:22">
      <c r="T8" s="167" t="s">
        <v>80</v>
      </c>
      <c r="U8" s="168">
        <f>'Map Template'!B43</f>
        <v>582845.05923999997</v>
      </c>
      <c r="V8" s="168">
        <f>'Map Template'!C43</f>
        <v>600904.26309000002</v>
      </c>
    </row>
    <row r="9" spans="1:22">
      <c r="G9">
        <f>E3*C3</f>
        <v>-30385.069568610979</v>
      </c>
    </row>
    <row r="10" spans="1:22">
      <c r="G10">
        <f>D3-G9</f>
        <v>631299.87463861099</v>
      </c>
    </row>
    <row r="11" spans="1:22">
      <c r="B11" t="s">
        <v>7</v>
      </c>
      <c r="C11">
        <f>C5-C6</f>
        <v>202.21256999997422</v>
      </c>
      <c r="D11" t="s">
        <v>11</v>
      </c>
      <c r="E11">
        <f>AVERAGE(C11:C12)</f>
        <v>202.17911499994807</v>
      </c>
    </row>
    <row r="12" spans="1:22">
      <c r="B12" t="s">
        <v>8</v>
      </c>
      <c r="C12">
        <f>C4-C3</f>
        <v>202.14565999992192</v>
      </c>
    </row>
    <row r="13" spans="1:22">
      <c r="B13" s="22" t="s">
        <v>9</v>
      </c>
      <c r="C13">
        <v>4</v>
      </c>
    </row>
    <row r="14" spans="1:22">
      <c r="B14" t="s">
        <v>10</v>
      </c>
      <c r="C14">
        <f>E11/C13</f>
        <v>50.544778749987017</v>
      </c>
    </row>
    <row r="17" spans="1:9">
      <c r="B17" t="s">
        <v>12</v>
      </c>
    </row>
    <row r="18" spans="1:9">
      <c r="A18" s="8" t="s">
        <v>13</v>
      </c>
      <c r="B18">
        <f>C3+C14</f>
        <v>582693.45835874998</v>
      </c>
      <c r="C18">
        <f>($E$3*B18)+$F$3</f>
        <v>600912.16913882701</v>
      </c>
      <c r="D18" s="8" t="s">
        <v>16</v>
      </c>
      <c r="E18">
        <f>C6+C14</f>
        <v>582695.7080687501</v>
      </c>
      <c r="F18">
        <f>($E$5*E18)+$F$5</f>
        <v>600957.14390637714</v>
      </c>
    </row>
    <row r="19" spans="1:9">
      <c r="A19" s="8" t="s">
        <v>14</v>
      </c>
      <c r="B19">
        <f>B18+C14</f>
        <v>582744.00313750003</v>
      </c>
      <c r="C19">
        <f>($E$3*B19)+$F$3</f>
        <v>600909.53320765391</v>
      </c>
      <c r="D19" s="8" t="s">
        <v>17</v>
      </c>
      <c r="E19">
        <f>E18+C14</f>
        <v>582746.25284750015</v>
      </c>
      <c r="F19">
        <f>($E$5*E19)+$F$5</f>
        <v>600954.49163275433</v>
      </c>
    </row>
    <row r="20" spans="1:9">
      <c r="A20" s="8" t="s">
        <v>15</v>
      </c>
      <c r="B20">
        <f>B19+C14</f>
        <v>582794.54791625007</v>
      </c>
      <c r="C20">
        <f>($E$3*B20)+$F$3</f>
        <v>600906.89727648092</v>
      </c>
      <c r="D20" s="8" t="s">
        <v>18</v>
      </c>
      <c r="E20">
        <f>E19+C14</f>
        <v>582796.79762625019</v>
      </c>
      <c r="F20">
        <f>($E$5*E20)+$F$5</f>
        <v>600951.83935913164</v>
      </c>
    </row>
    <row r="22" spans="1:9">
      <c r="A22" s="9" t="s">
        <v>22</v>
      </c>
    </row>
    <row r="23" spans="1:9">
      <c r="B23" s="7" t="s">
        <v>23</v>
      </c>
      <c r="C23" s="7" t="s">
        <v>24</v>
      </c>
    </row>
    <row r="25" spans="1:9">
      <c r="A25" s="10" t="s">
        <v>3</v>
      </c>
      <c r="B25" s="11">
        <f>C3</f>
        <v>582642.91358000005</v>
      </c>
      <c r="C25" s="11">
        <f>D3</f>
        <v>600914.80507</v>
      </c>
    </row>
    <row r="26" spans="1:9">
      <c r="A26" s="12" t="s">
        <v>4</v>
      </c>
      <c r="B26" s="13">
        <f>C6</f>
        <v>582645.16329000005</v>
      </c>
      <c r="C26" s="13">
        <f>D6</f>
        <v>600959.79617999995</v>
      </c>
    </row>
    <row r="27" spans="1:9">
      <c r="A27" s="12" t="s">
        <v>30</v>
      </c>
      <c r="B27" s="13">
        <f>B18</f>
        <v>582693.45835874998</v>
      </c>
      <c r="C27" s="13">
        <f>C18</f>
        <v>600912.16913882701</v>
      </c>
    </row>
    <row r="28" spans="1:9">
      <c r="A28" s="10" t="s">
        <v>31</v>
      </c>
      <c r="B28" s="11">
        <f>E18</f>
        <v>582695.7080687501</v>
      </c>
      <c r="C28" s="11">
        <f>F18</f>
        <v>600957.14390637714</v>
      </c>
      <c r="E28" t="s">
        <v>84</v>
      </c>
    </row>
    <row r="29" spans="1:9">
      <c r="A29" s="12" t="s">
        <v>33</v>
      </c>
      <c r="B29" s="13">
        <f>B19</f>
        <v>582744.00313750003</v>
      </c>
      <c r="C29" s="13">
        <f>C19</f>
        <v>600909.53320765391</v>
      </c>
      <c r="E29" t="s">
        <v>85</v>
      </c>
      <c r="F29" s="1" t="s">
        <v>1</v>
      </c>
      <c r="G29" s="1" t="s">
        <v>2</v>
      </c>
      <c r="H29" s="26" t="s">
        <v>86</v>
      </c>
      <c r="I29" s="26" t="s">
        <v>87</v>
      </c>
    </row>
    <row r="30" spans="1:9">
      <c r="A30" s="15" t="s">
        <v>34</v>
      </c>
      <c r="B30" s="16">
        <f>E19</f>
        <v>582746.25284750015</v>
      </c>
      <c r="C30" s="16">
        <f>F19</f>
        <v>600954.49163275433</v>
      </c>
      <c r="E30" t="s">
        <v>3</v>
      </c>
      <c r="F30">
        <f>C3</f>
        <v>582642.91358000005</v>
      </c>
      <c r="G30">
        <f>D3</f>
        <v>600914.80507</v>
      </c>
    </row>
    <row r="31" spans="1:9">
      <c r="A31" s="8" t="s">
        <v>36</v>
      </c>
      <c r="B31">
        <f>B20</f>
        <v>582794.54791625007</v>
      </c>
      <c r="C31">
        <f>C20</f>
        <v>600906.89727648092</v>
      </c>
      <c r="E31" t="s">
        <v>4</v>
      </c>
      <c r="F31">
        <f>C6</f>
        <v>582645.16329000005</v>
      </c>
      <c r="G31">
        <f>D6</f>
        <v>600959.79617999995</v>
      </c>
      <c r="H31">
        <f>F30*G31</f>
        <v>350144966590.75818</v>
      </c>
      <c r="I31">
        <f>G30*F31</f>
        <v>350120104723.38873</v>
      </c>
    </row>
    <row r="32" spans="1:9">
      <c r="A32" s="8" t="s">
        <v>37</v>
      </c>
      <c r="B32">
        <f>E20</f>
        <v>582796.79762625019</v>
      </c>
      <c r="C32">
        <f>F20</f>
        <v>600951.83935913164</v>
      </c>
      <c r="E32" t="s">
        <v>6</v>
      </c>
      <c r="F32">
        <f>C5</f>
        <v>582847.37586000003</v>
      </c>
      <c r="G32">
        <f>D5</f>
        <v>600949.18533000001</v>
      </c>
      <c r="H32">
        <f>F31*G32</f>
        <v>350140136215.59033</v>
      </c>
      <c r="I32">
        <f>G31*F32</f>
        <v>350267840200.87341</v>
      </c>
    </row>
    <row r="33" spans="1:16">
      <c r="A33" s="19" t="s">
        <v>6</v>
      </c>
      <c r="B33">
        <f>C5</f>
        <v>582847.37586000003</v>
      </c>
      <c r="C33">
        <f>D5</f>
        <v>600949.18533000001</v>
      </c>
      <c r="E33" t="s">
        <v>5</v>
      </c>
      <c r="F33">
        <f>C4</f>
        <v>582845.05923999997</v>
      </c>
      <c r="G33">
        <f>D4</f>
        <v>600904.26309000002</v>
      </c>
      <c r="H33">
        <f>F32*G33</f>
        <v>350235472885.09357</v>
      </c>
      <c r="I33">
        <f>G32*F33</f>
        <v>350260263523.89355</v>
      </c>
    </row>
    <row r="34" spans="1:16">
      <c r="A34" s="19"/>
      <c r="E34" t="str">
        <f>E30</f>
        <v>A</v>
      </c>
      <c r="F34">
        <f>F30</f>
        <v>582642.91358000005</v>
      </c>
      <c r="G34">
        <f>G30</f>
        <v>600914.80507</v>
      </c>
      <c r="H34">
        <f>F33*G34</f>
        <v>350240225159.21716</v>
      </c>
      <c r="I34">
        <f>G33*F34</f>
        <v>350112610629.40051</v>
      </c>
    </row>
    <row r="36" spans="1:16">
      <c r="A36" s="1"/>
      <c r="B36" s="20" t="s">
        <v>25</v>
      </c>
      <c r="C36" s="20" t="s">
        <v>26</v>
      </c>
      <c r="G36" t="s">
        <v>88</v>
      </c>
      <c r="H36" s="76">
        <f>ABS((SUM(H31:H34)-SUM(I31:I34))/2)</f>
        <v>9113.448486328125</v>
      </c>
      <c r="I36" t="s">
        <v>89</v>
      </c>
    </row>
    <row r="37" spans="1:16">
      <c r="A37" s="21" t="s">
        <v>27</v>
      </c>
      <c r="B37" s="1">
        <f>'Map Template'!U7</f>
        <v>582642.91358000005</v>
      </c>
      <c r="C37" s="1">
        <f>'Map Template'!V7</f>
        <v>600914.80507</v>
      </c>
      <c r="H37" s="31">
        <f>H36/10000</f>
        <v>0.91134484863281251</v>
      </c>
      <c r="I37" t="s">
        <v>90</v>
      </c>
    </row>
    <row r="38" spans="1:16">
      <c r="A38" s="21" t="s">
        <v>28</v>
      </c>
      <c r="B38" s="1">
        <f>'Map Template'!U8</f>
        <v>582845.05923999997</v>
      </c>
      <c r="C38" s="1">
        <f>'Map Template'!V8</f>
        <v>600904.26309000002</v>
      </c>
    </row>
    <row r="39" spans="1:16">
      <c r="J39" s="80" t="str">
        <f>"1"</f>
        <v>1</v>
      </c>
    </row>
    <row r="40" spans="1:16">
      <c r="A40" s="79" t="s">
        <v>41</v>
      </c>
      <c r="B40" s="79"/>
      <c r="C40" s="79"/>
      <c r="D40" s="79"/>
      <c r="E40" s="79"/>
      <c r="F40" s="79"/>
      <c r="G40" s="80"/>
      <c r="H40" s="82"/>
      <c r="J40" t="str">
        <f>"5"</f>
        <v>5</v>
      </c>
    </row>
    <row r="41" spans="1:16">
      <c r="A41" s="79" t="str">
        <f>'Map Template'!B2</f>
        <v>id</v>
      </c>
      <c r="B41" s="79" t="str">
        <f>'Map Template'!C2</f>
        <v>xcoord</v>
      </c>
      <c r="C41" s="79" t="str">
        <f>'Map Template'!D2</f>
        <v>ycoord</v>
      </c>
      <c r="D41" s="79" t="str">
        <f>'Map Template'!E2</f>
        <v xml:space="preserve">slope </v>
      </c>
      <c r="E41" s="79" t="str">
        <f>'Map Template'!F2</f>
        <v>Y intercept</v>
      </c>
      <c r="F41" s="79"/>
      <c r="G41" s="79"/>
      <c r="H41" s="80"/>
      <c r="I41" s="80"/>
      <c r="J41" t="str">
        <f>"10"</f>
        <v>10</v>
      </c>
      <c r="K41" s="80"/>
      <c r="L41" s="84" t="s">
        <v>103</v>
      </c>
      <c r="M41" s="87">
        <f>'Map Template'!H37</f>
        <v>0.91134484863281251</v>
      </c>
      <c r="N41" s="85" t="s">
        <v>90</v>
      </c>
      <c r="O41" s="42"/>
      <c r="P41" s="42"/>
    </row>
    <row r="42" spans="1:16">
      <c r="A42" s="79">
        <f>'Map Template'!B3</f>
        <v>38333</v>
      </c>
      <c r="B42" s="79">
        <f>'Map Template'!C3</f>
        <v>582642.91358000005</v>
      </c>
      <c r="C42" s="79">
        <f>'Map Template'!D3</f>
        <v>600914.80507</v>
      </c>
      <c r="D42" s="79">
        <f>'Map Template'!E3</f>
        <v>-5.2150414705831559E-2</v>
      </c>
      <c r="E42" s="79">
        <f>'Map Template'!F3</f>
        <v>631299.87463861099</v>
      </c>
      <c r="F42" s="79"/>
      <c r="G42" s="79"/>
      <c r="H42" s="79"/>
      <c r="I42" s="80"/>
      <c r="J42" s="80" t="str">
        <f>"30"</f>
        <v>30</v>
      </c>
      <c r="K42" s="80"/>
      <c r="L42" s="80"/>
      <c r="M42" s="80" t="str">
        <f>TEXT(M41,"##0.00")</f>
        <v>0.91</v>
      </c>
      <c r="N42" s="79"/>
      <c r="O42" s="79"/>
      <c r="P42" s="42"/>
    </row>
    <row r="43" spans="1:16">
      <c r="A43" s="79">
        <f>'Map Template'!B4</f>
        <v>38333</v>
      </c>
      <c r="B43" s="79">
        <f>'Map Template'!C4</f>
        <v>582845.05923999997</v>
      </c>
      <c r="C43" s="79">
        <f>'Map Template'!D4</f>
        <v>600904.26309000002</v>
      </c>
      <c r="D43" s="79" t="str">
        <f>'Map Template'!E4</f>
        <v>slope</v>
      </c>
      <c r="E43" s="79" t="str">
        <f>'Map Template'!F4</f>
        <v>Y intercept</v>
      </c>
      <c r="F43" s="79"/>
      <c r="G43" s="79"/>
      <c r="H43" s="79"/>
      <c r="I43" s="80" t="s">
        <v>99</v>
      </c>
      <c r="J43" s="80" t="str">
        <f>"60"</f>
        <v>60</v>
      </c>
      <c r="K43" s="80"/>
      <c r="L43" s="88" t="str">
        <f>GMOT!O3</f>
        <v>Paddock 38 C</v>
      </c>
      <c r="M43" s="80"/>
      <c r="N43" s="79"/>
      <c r="O43" s="79" t="s">
        <v>104</v>
      </c>
      <c r="P43" s="42"/>
    </row>
    <row r="44" spans="1:16">
      <c r="A44" s="79">
        <f>'Map Template'!B5</f>
        <v>38333</v>
      </c>
      <c r="B44" s="79">
        <f>'Map Template'!C5</f>
        <v>582847.37586000003</v>
      </c>
      <c r="C44" s="79">
        <f>'Map Template'!D5</f>
        <v>600949.18533000001</v>
      </c>
      <c r="D44" s="79">
        <f>'Map Template'!E5</f>
        <v>-5.2473740875458169E-2</v>
      </c>
      <c r="E44" s="79">
        <f>'Map Template'!F5</f>
        <v>631533.36750081833</v>
      </c>
      <c r="F44" s="79"/>
      <c r="G44" s="79"/>
      <c r="H44" s="79"/>
      <c r="I44" s="80" t="s">
        <v>100</v>
      </c>
      <c r="J44" s="80" t="str">
        <f>"180"</f>
        <v>180</v>
      </c>
      <c r="K44" s="80"/>
      <c r="L44" s="88" t="str">
        <f>CONCATENATE(L41," ",M42," ",N41)</f>
        <v>Area = 0.91 Ha</v>
      </c>
      <c r="M44" s="80"/>
      <c r="N44" s="79"/>
      <c r="O44" s="79" t="s">
        <v>105</v>
      </c>
      <c r="P44" s="80" t="str">
        <f>TEXT(GMOT!P20,"##0")</f>
        <v>570</v>
      </c>
    </row>
    <row r="45" spans="1:16">
      <c r="A45" s="79">
        <f>'Map Template'!B6</f>
        <v>38333</v>
      </c>
      <c r="B45" s="79">
        <f>'Map Template'!C6</f>
        <v>582645.16329000005</v>
      </c>
      <c r="C45" s="79">
        <f>'Map Template'!D6</f>
        <v>600959.79617999995</v>
      </c>
      <c r="D45" s="79">
        <f>'Map Template'!E6</f>
        <v>0</v>
      </c>
      <c r="E45" s="79">
        <f>'Map Template'!F6</f>
        <v>0</v>
      </c>
      <c r="F45" s="79"/>
      <c r="G45" s="79"/>
      <c r="H45" s="79"/>
      <c r="I45" s="80"/>
      <c r="J45" s="80" t="str">
        <f>"360"</f>
        <v>360</v>
      </c>
      <c r="K45" s="80"/>
      <c r="L45" s="80" t="str">
        <f>IF(GMOT!O5="Rising plate meter","RPM Survey",NA)</f>
        <v>RPM Survey</v>
      </c>
      <c r="M45" s="80"/>
      <c r="N45" s="79"/>
      <c r="O45" s="79" t="s">
        <v>106</v>
      </c>
      <c r="P45" s="80" t="str">
        <f>TEXT(GMOT!P15,"##0.00")</f>
        <v>-0.01</v>
      </c>
    </row>
    <row r="46" spans="1:16">
      <c r="A46" s="79">
        <f>'Map Template'!B7</f>
        <v>38333</v>
      </c>
      <c r="B46" s="79">
        <f>'Map Template'!C7</f>
        <v>582642.91358000005</v>
      </c>
      <c r="C46" s="79">
        <f>'Map Template'!D7</f>
        <v>600914.80507</v>
      </c>
      <c r="D46" s="79">
        <f>'Map Template'!E7</f>
        <v>0</v>
      </c>
      <c r="E46" s="79">
        <f>'Map Template'!F7</f>
        <v>0</v>
      </c>
      <c r="F46" s="79"/>
      <c r="G46" s="95">
        <v>120</v>
      </c>
      <c r="H46" s="79" t="s">
        <v>107</v>
      </c>
      <c r="I46" s="80"/>
      <c r="J46" s="120" t="str">
        <f>"Converge"</f>
        <v>Converge</v>
      </c>
      <c r="K46" s="80"/>
      <c r="L46" s="80" t="str">
        <f>L43&amp;" "&amp;L44&amp;" "&amp;L45</f>
        <v>Paddock 38 C Area = 0.91 Ha RPM Survey</v>
      </c>
      <c r="M46" s="80"/>
      <c r="N46" s="79"/>
      <c r="O46" s="79"/>
      <c r="P46" s="42"/>
    </row>
    <row r="47" spans="1:16">
      <c r="A47" s="79">
        <f>'Map Template'!B8</f>
        <v>0</v>
      </c>
      <c r="B47" s="79">
        <f>'Map Template'!C8</f>
        <v>0</v>
      </c>
      <c r="C47" s="79">
        <f>'Map Template'!D8</f>
        <v>0</v>
      </c>
      <c r="D47" s="79">
        <f>'Map Template'!E8</f>
        <v>0</v>
      </c>
      <c r="E47" s="79">
        <f>'Map Template'!F8</f>
        <v>0</v>
      </c>
      <c r="F47" s="79"/>
      <c r="G47" s="95">
        <v>80</v>
      </c>
      <c r="H47" s="79" t="s">
        <v>82</v>
      </c>
      <c r="I47" s="79"/>
      <c r="J47" s="79"/>
      <c r="K47" s="79"/>
      <c r="L47" s="42"/>
      <c r="M47" s="79"/>
      <c r="N47" s="79"/>
      <c r="O47" s="79"/>
      <c r="P47" s="42"/>
    </row>
    <row r="48" spans="1:16">
      <c r="A48" s="79">
        <f>'Map Template'!B9</f>
        <v>0</v>
      </c>
      <c r="B48" s="79">
        <f>'Map Template'!C9</f>
        <v>0</v>
      </c>
      <c r="C48" s="79">
        <f>'Map Template'!D9</f>
        <v>0</v>
      </c>
      <c r="D48" s="79">
        <f>'Map Template'!E9</f>
        <v>0</v>
      </c>
      <c r="E48" s="79">
        <f>'Map Template'!F9</f>
        <v>0</v>
      </c>
      <c r="F48" s="79"/>
      <c r="G48" s="95">
        <v>40</v>
      </c>
      <c r="H48" s="79" t="s">
        <v>83</v>
      </c>
      <c r="I48" s="79"/>
      <c r="J48" s="118">
        <f>IF(GMOT!P12="1",1,IF(GMOT!P12="5",5,IF(GMOT!P12="10",10,IF(GMOT!P12="30",30,IF(GMOT!P12="60",60,IF(GMOT!P12="180",80,IF(GMOT!P12="360",360,IF(GMOT!P12="Converge",1000000,NA))))))))</f>
        <v>1</v>
      </c>
      <c r="K48" s="79"/>
      <c r="L48" s="89" t="str">
        <f>CONCATENATE(O43," ",GMOT!P7," ",GMOT!Q7)</f>
        <v>Sample Rate = 16 /Ha</v>
      </c>
      <c r="M48" s="79"/>
      <c r="N48" s="79"/>
      <c r="O48" s="79"/>
      <c r="P48" s="42"/>
    </row>
    <row r="49" spans="1:16">
      <c r="A49" s="79">
        <f>'Map Template'!B10</f>
        <v>0</v>
      </c>
      <c r="B49" s="79">
        <f>'Map Template'!C10</f>
        <v>0</v>
      </c>
      <c r="C49" s="79">
        <f>'Map Template'!D10</f>
        <v>0</v>
      </c>
      <c r="D49" s="79">
        <f>'Map Template'!E10</f>
        <v>0</v>
      </c>
      <c r="E49" s="79">
        <f>'Map Template'!F10</f>
        <v>0</v>
      </c>
      <c r="F49" s="79"/>
      <c r="G49" s="95">
        <v>32</v>
      </c>
      <c r="H49" s="79"/>
      <c r="I49" s="79"/>
      <c r="J49" s="79"/>
      <c r="K49" s="79"/>
      <c r="L49" s="89" t="str">
        <f>CONCATENATE(O44," ",P44," ",GMOT!Q20)</f>
        <v>Distance = 570 m/Ha</v>
      </c>
      <c r="M49" s="79"/>
      <c r="N49" s="79"/>
      <c r="O49" s="79"/>
      <c r="P49" s="42"/>
    </row>
    <row r="50" spans="1:16">
      <c r="A50" s="79" t="str">
        <f>'Map Template'!B11</f>
        <v>xdist 1</v>
      </c>
      <c r="B50" s="79">
        <f>'Map Template'!C11</f>
        <v>202.21256999997422</v>
      </c>
      <c r="C50" s="79" t="str">
        <f>'Map Template'!D11</f>
        <v>avg</v>
      </c>
      <c r="D50" s="79">
        <f>'Map Template'!E11</f>
        <v>202.17911499994807</v>
      </c>
      <c r="E50" s="79">
        <f>'Map Template'!F11</f>
        <v>0</v>
      </c>
      <c r="F50" s="79"/>
      <c r="G50" s="95">
        <v>24</v>
      </c>
      <c r="H50" s="79"/>
      <c r="I50" s="79"/>
      <c r="J50" s="79"/>
      <c r="K50" s="79"/>
      <c r="L50" s="89" t="str">
        <f>CONCATENATE(O45," ",P45,GMOT!Q16)</f>
        <v>Error = -0.01</v>
      </c>
      <c r="M50" s="79"/>
      <c r="N50" s="79"/>
      <c r="O50" s="79"/>
      <c r="P50" s="42"/>
    </row>
    <row r="51" spans="1:16">
      <c r="A51" s="79" t="str">
        <f>'Map Template'!B12</f>
        <v xml:space="preserve">xdist 2 </v>
      </c>
      <c r="B51" s="79">
        <f>'Map Template'!C12</f>
        <v>202.14565999992192</v>
      </c>
      <c r="C51" s="79">
        <f>'Map Template'!D12</f>
        <v>0</v>
      </c>
      <c r="D51" s="79">
        <f>'Map Template'!E12</f>
        <v>0</v>
      </c>
      <c r="E51" s="79">
        <f>'Map Template'!F12</f>
        <v>0</v>
      </c>
      <c r="F51" s="79"/>
      <c r="G51" s="95">
        <v>16</v>
      </c>
      <c r="H51" s="79"/>
      <c r="I51" s="79"/>
      <c r="J51" s="79"/>
      <c r="K51" s="79"/>
      <c r="L51" s="79" t="str">
        <f>L48&amp;" "&amp;L49&amp;" "&amp;L50</f>
        <v>Sample Rate = 16 /Ha Distance = 570 m/Ha Error = -0.01</v>
      </c>
      <c r="M51" s="79"/>
      <c r="N51" s="79"/>
      <c r="O51" s="79"/>
      <c r="P51" s="42"/>
    </row>
    <row r="52" spans="1:16">
      <c r="A52" s="79" t="str">
        <f>'Map Template'!B13</f>
        <v>strata</v>
      </c>
      <c r="B52" s="79">
        <f>'Map Template'!C13</f>
        <v>4</v>
      </c>
      <c r="C52" s="79">
        <f>'Map Template'!D13</f>
        <v>0</v>
      </c>
      <c r="D52" s="79">
        <f>'Map Template'!E13</f>
        <v>0</v>
      </c>
      <c r="E52" s="79">
        <f>'Map Template'!F13</f>
        <v>0</v>
      </c>
      <c r="F52" s="86"/>
      <c r="G52" s="95">
        <v>12</v>
      </c>
      <c r="H52" s="86"/>
    </row>
    <row r="53" spans="1:16">
      <c r="A53" s="79" t="str">
        <f>'Map Template'!B14</f>
        <v>sl</v>
      </c>
      <c r="B53" s="79">
        <f>'Map Template'!C14</f>
        <v>50.544778749987017</v>
      </c>
      <c r="C53" s="79">
        <f>'Map Template'!D14</f>
        <v>0</v>
      </c>
      <c r="D53" s="79">
        <f>'Map Template'!E14</f>
        <v>0</v>
      </c>
      <c r="E53" s="79">
        <f>'Map Template'!F14</f>
        <v>0</v>
      </c>
      <c r="F53" s="79"/>
      <c r="G53" s="95">
        <v>8</v>
      </c>
      <c r="H53" s="79"/>
      <c r="I53" s="153" t="s">
        <v>173</v>
      </c>
      <c r="J53" s="153"/>
      <c r="K53" s="153"/>
      <c r="L53" s="153"/>
      <c r="M53" s="153"/>
    </row>
    <row r="54" spans="1:16">
      <c r="A54" s="79">
        <f>'Map Template'!B15</f>
        <v>0</v>
      </c>
      <c r="B54" s="79">
        <f>'Map Template'!C15</f>
        <v>0</v>
      </c>
      <c r="C54" s="79">
        <f>'Map Template'!D15</f>
        <v>0</v>
      </c>
      <c r="D54" s="79">
        <f>'Map Template'!E15</f>
        <v>0</v>
      </c>
      <c r="E54" s="79">
        <f>'Map Template'!F15</f>
        <v>0</v>
      </c>
      <c r="F54" s="79"/>
      <c r="G54" s="95">
        <v>4</v>
      </c>
      <c r="H54" s="79"/>
      <c r="I54" s="148"/>
      <c r="J54" s="132" t="s">
        <v>116</v>
      </c>
      <c r="K54" s="132" t="s">
        <v>117</v>
      </c>
      <c r="L54" s="148" t="s">
        <v>175</v>
      </c>
      <c r="M54" s="148"/>
    </row>
    <row r="55" spans="1:16">
      <c r="A55" s="79">
        <f>'Map Template'!B16</f>
        <v>0</v>
      </c>
      <c r="B55" s="79">
        <f>'Map Template'!C16</f>
        <v>0</v>
      </c>
      <c r="C55" s="79">
        <f>'Map Template'!D16</f>
        <v>0</v>
      </c>
      <c r="D55" s="79">
        <f>'Map Template'!E16</f>
        <v>0</v>
      </c>
      <c r="E55" s="79">
        <f>'Map Template'!F16</f>
        <v>0</v>
      </c>
      <c r="F55" s="79"/>
      <c r="G55" s="95">
        <v>2</v>
      </c>
      <c r="H55" s="79"/>
      <c r="I55" s="132" t="str">
        <f>"Annual"</f>
        <v>Annual</v>
      </c>
      <c r="J55" s="154">
        <v>0.22208565540585085</v>
      </c>
      <c r="K55" s="155">
        <v>7.6230160242886771E-2</v>
      </c>
      <c r="L55" s="153">
        <v>0.64545886200000002</v>
      </c>
      <c r="M55" s="153" t="s">
        <v>174</v>
      </c>
    </row>
    <row r="56" spans="1:16">
      <c r="A56" s="79" t="str">
        <f>'Map Template'!B17</f>
        <v xml:space="preserve">Strata co </v>
      </c>
      <c r="B56" s="79">
        <f>'Map Template'!C17</f>
        <v>0</v>
      </c>
      <c r="C56" s="79">
        <f>'Map Template'!D17</f>
        <v>0</v>
      </c>
      <c r="D56" s="79">
        <f>'Map Template'!E17</f>
        <v>0</v>
      </c>
      <c r="E56" s="79">
        <f>'Map Template'!F17</f>
        <v>0</v>
      </c>
      <c r="F56" s="79"/>
      <c r="G56" s="95">
        <v>1</v>
      </c>
      <c r="H56" s="79"/>
      <c r="I56" s="148" t="str">
        <f>"Monthly"</f>
        <v>Monthly</v>
      </c>
      <c r="J56" s="154">
        <v>0.22864583168891861</v>
      </c>
      <c r="K56" s="155">
        <v>6.4327665702959946E-2</v>
      </c>
      <c r="L56" s="153">
        <v>0.68751938672905555</v>
      </c>
      <c r="M56" s="153" t="s">
        <v>174</v>
      </c>
    </row>
    <row r="57" spans="1:16">
      <c r="A57" s="79">
        <f>'Map Template'!B18</f>
        <v>582693.45835874998</v>
      </c>
      <c r="B57" s="79">
        <f>'Map Template'!C18</f>
        <v>600912.16913882701</v>
      </c>
      <c r="C57" s="79" t="str">
        <f>'Map Template'!D18</f>
        <v>b1</v>
      </c>
      <c r="D57" s="79">
        <f>'Map Template'!E18</f>
        <v>582695.7080687501</v>
      </c>
      <c r="E57" s="79">
        <f>'Map Template'!F18</f>
        <v>600957.14390637714</v>
      </c>
      <c r="F57" s="79"/>
      <c r="G57" s="79"/>
      <c r="H57" s="79"/>
      <c r="I57" s="148" t="str">
        <f>"Optimum"</f>
        <v>Optimum</v>
      </c>
      <c r="J57" s="153"/>
      <c r="K57" s="153"/>
      <c r="L57" s="153"/>
      <c r="M57" s="153" t="s">
        <v>174</v>
      </c>
    </row>
    <row r="58" spans="1:16">
      <c r="A58" s="79">
        <f>'Map Template'!B19</f>
        <v>582744.00313750003</v>
      </c>
      <c r="B58" s="79">
        <f>'Map Template'!C19</f>
        <v>600909.53320765391</v>
      </c>
      <c r="C58" s="79" t="str">
        <f>'Map Template'!D19</f>
        <v>b2</v>
      </c>
      <c r="D58" s="79">
        <f>'Map Template'!E19</f>
        <v>582746.25284750015</v>
      </c>
      <c r="E58" s="79">
        <f>'Map Template'!F19</f>
        <v>600954.49163275433</v>
      </c>
      <c r="F58" s="79"/>
      <c r="G58" s="79"/>
      <c r="H58" s="79"/>
      <c r="I58" s="148" t="str">
        <f>"Standard"</f>
        <v>Standard</v>
      </c>
      <c r="J58" s="153"/>
      <c r="K58" s="153"/>
      <c r="L58" s="153"/>
      <c r="M58" s="153"/>
    </row>
    <row r="59" spans="1:16">
      <c r="A59" s="79">
        <f>'Map Template'!B20</f>
        <v>582794.54791625007</v>
      </c>
      <c r="B59" s="79">
        <f>'Map Template'!C20</f>
        <v>600906.89727648092</v>
      </c>
      <c r="C59" s="79" t="str">
        <f>'Map Template'!D20</f>
        <v>b3</v>
      </c>
      <c r="D59" s="79">
        <f>'Map Template'!E20</f>
        <v>582796.79762625019</v>
      </c>
      <c r="E59" s="79">
        <f>'Map Template'!F20</f>
        <v>600951.83935913164</v>
      </c>
      <c r="F59" s="79"/>
      <c r="G59" s="79"/>
      <c r="H59" s="79"/>
      <c r="I59" s="153"/>
      <c r="J59" s="153"/>
      <c r="K59" s="153"/>
      <c r="L59" s="153"/>
      <c r="M59" s="153"/>
    </row>
    <row r="60" spans="1:16">
      <c r="A60" s="79">
        <f>'Map Template'!B21</f>
        <v>0</v>
      </c>
      <c r="B60" s="79">
        <f>'Map Template'!C21</f>
        <v>0</v>
      </c>
      <c r="C60" s="79">
        <f>'Map Template'!D21</f>
        <v>0</v>
      </c>
      <c r="D60" s="79">
        <f>'Map Template'!E21</f>
        <v>0</v>
      </c>
      <c r="E60" s="79">
        <f>'Map Template'!F21</f>
        <v>0</v>
      </c>
      <c r="F60" s="79"/>
      <c r="G60" s="79"/>
      <c r="H60" s="79"/>
    </row>
    <row r="61" spans="1:16">
      <c r="A61" s="79">
        <f>'Map Template'!B22</f>
        <v>0</v>
      </c>
      <c r="B61" s="79">
        <f>'Map Template'!C22</f>
        <v>0</v>
      </c>
      <c r="C61" s="79">
        <f>'Map Template'!D22</f>
        <v>0</v>
      </c>
      <c r="D61" s="79">
        <f>'Map Template'!E22</f>
        <v>0</v>
      </c>
      <c r="E61" s="79">
        <f>'Map Template'!F22</f>
        <v>0</v>
      </c>
      <c r="F61" s="79"/>
      <c r="G61" s="79"/>
      <c r="H61" s="79"/>
    </row>
    <row r="62" spans="1:16">
      <c r="A62" s="79" t="str">
        <f>'Map Template'!B23</f>
        <v>X</v>
      </c>
      <c r="B62" s="79" t="str">
        <f>'Map Template'!C23</f>
        <v>Y</v>
      </c>
      <c r="C62" s="79">
        <f>'Map Template'!D23</f>
        <v>0</v>
      </c>
      <c r="D62" s="79">
        <f>'Map Template'!E23</f>
        <v>0</v>
      </c>
      <c r="E62" s="79">
        <f>'Map Template'!F23</f>
        <v>0</v>
      </c>
      <c r="F62" s="79"/>
      <c r="G62" s="79"/>
      <c r="H62" s="79"/>
    </row>
    <row r="63" spans="1:16">
      <c r="A63" s="79">
        <f>'Map Template'!B24</f>
        <v>0</v>
      </c>
      <c r="B63" s="79">
        <f>'Map Template'!C24</f>
        <v>0</v>
      </c>
      <c r="C63" s="79">
        <f>'Map Template'!D24</f>
        <v>0</v>
      </c>
      <c r="D63" s="79">
        <f>'Map Template'!E24</f>
        <v>0</v>
      </c>
      <c r="E63" s="79">
        <f>'Map Template'!F24</f>
        <v>0</v>
      </c>
      <c r="F63" s="79"/>
      <c r="G63" s="79"/>
      <c r="H63" s="79"/>
    </row>
    <row r="64" spans="1:16">
      <c r="A64" s="79">
        <f>'Map Template'!B25</f>
        <v>582642.91358000005</v>
      </c>
      <c r="B64" s="79">
        <f>'Map Template'!C25</f>
        <v>600914.80507</v>
      </c>
      <c r="C64" s="79">
        <f>'Map Template'!D25</f>
        <v>0</v>
      </c>
      <c r="D64" s="79">
        <f>'Map Template'!E25</f>
        <v>0</v>
      </c>
      <c r="E64" s="79">
        <f>'Map Template'!F25</f>
        <v>0</v>
      </c>
      <c r="F64" s="79"/>
      <c r="G64" s="79"/>
      <c r="H64" s="79"/>
    </row>
    <row r="65" spans="1:8">
      <c r="A65" s="79">
        <f>'Map Template'!B26</f>
        <v>582645.16329000005</v>
      </c>
      <c r="B65" s="79">
        <f>'Map Template'!C26</f>
        <v>600959.79617999995</v>
      </c>
      <c r="C65" s="79">
        <f>'Map Template'!D26</f>
        <v>0</v>
      </c>
      <c r="D65" s="79">
        <f>'Map Template'!E26</f>
        <v>0</v>
      </c>
      <c r="E65" s="79">
        <f>'Map Template'!F26</f>
        <v>0</v>
      </c>
      <c r="F65" s="79"/>
      <c r="G65" s="79"/>
      <c r="H65" s="79"/>
    </row>
    <row r="66" spans="1:8">
      <c r="A66" s="79">
        <f>'Map Template'!B27</f>
        <v>582693.45835874998</v>
      </c>
      <c r="B66" s="79">
        <f>'Map Template'!C27</f>
        <v>600912.16913882701</v>
      </c>
      <c r="C66" s="79">
        <f>'Map Template'!D27</f>
        <v>0</v>
      </c>
      <c r="D66" s="79">
        <f>'Map Template'!E27</f>
        <v>0</v>
      </c>
      <c r="E66" s="79">
        <f>'Map Template'!F27</f>
        <v>0</v>
      </c>
      <c r="F66" s="79"/>
      <c r="G66" s="79"/>
      <c r="H66" s="79"/>
    </row>
    <row r="67" spans="1:8">
      <c r="A67" s="79">
        <f>'Map Template'!B28</f>
        <v>582695.7080687501</v>
      </c>
      <c r="B67" s="79">
        <f>'Map Template'!C28</f>
        <v>600957.14390637714</v>
      </c>
      <c r="C67" s="79">
        <f>'Map Template'!D28</f>
        <v>0</v>
      </c>
      <c r="D67" s="79" t="str">
        <f>'Map Template'!E28</f>
        <v>Area Calculation</v>
      </c>
      <c r="E67" s="79">
        <f>'Map Template'!F28</f>
        <v>0</v>
      </c>
      <c r="F67" s="79"/>
      <c r="G67" s="79"/>
      <c r="H67" s="79"/>
    </row>
    <row r="68" spans="1:8">
      <c r="A68" s="79">
        <f>'Map Template'!B29</f>
        <v>582744.00313750003</v>
      </c>
      <c r="B68" s="79">
        <f>'Map Template'!C29</f>
        <v>600909.53320765391</v>
      </c>
      <c r="C68" s="79">
        <f>'Map Template'!D29</f>
        <v>0</v>
      </c>
      <c r="D68" s="79" t="str">
        <f>'Map Template'!E29</f>
        <v>Id</v>
      </c>
      <c r="E68" s="79" t="str">
        <f>'Map Template'!F29</f>
        <v>xcoord</v>
      </c>
      <c r="F68" s="79"/>
      <c r="G68" s="79"/>
      <c r="H68" s="79"/>
    </row>
    <row r="69" spans="1:8">
      <c r="A69" s="79">
        <f>'Map Template'!B30</f>
        <v>582746.25284750015</v>
      </c>
      <c r="B69" s="79">
        <f>'Map Template'!C30</f>
        <v>600954.49163275433</v>
      </c>
      <c r="C69" s="79">
        <f>'Map Template'!D30</f>
        <v>0</v>
      </c>
      <c r="D69" s="79" t="str">
        <f>'Map Template'!E30</f>
        <v>A</v>
      </c>
      <c r="E69" s="79">
        <f>'Map Template'!F30</f>
        <v>582642.91358000005</v>
      </c>
      <c r="F69" s="79"/>
      <c r="G69" s="79"/>
      <c r="H69" s="79"/>
    </row>
    <row r="70" spans="1:8">
      <c r="A70" s="79">
        <f>'Map Template'!B31</f>
        <v>582794.54791625007</v>
      </c>
      <c r="B70" s="79">
        <f>'Map Template'!C31</f>
        <v>600906.89727648092</v>
      </c>
      <c r="C70" s="79">
        <f>'Map Template'!D31</f>
        <v>0</v>
      </c>
      <c r="D70" s="79" t="str">
        <f>'Map Template'!E31</f>
        <v>B</v>
      </c>
      <c r="E70" s="79">
        <f>'Map Template'!F31</f>
        <v>582645.16329000005</v>
      </c>
      <c r="F70" s="79"/>
      <c r="G70" s="79"/>
      <c r="H70" s="79"/>
    </row>
    <row r="71" spans="1:8">
      <c r="A71" s="79">
        <f>'Map Template'!B32</f>
        <v>582796.79762625019</v>
      </c>
      <c r="B71" s="79">
        <f>'Map Template'!C32</f>
        <v>600951.83935913164</v>
      </c>
      <c r="C71" s="79">
        <f>'Map Template'!D32</f>
        <v>0</v>
      </c>
      <c r="D71" s="79" t="str">
        <f>'Map Template'!E32</f>
        <v>C</v>
      </c>
      <c r="E71" s="79">
        <f>'Map Template'!F32</f>
        <v>582847.37586000003</v>
      </c>
      <c r="F71" s="79"/>
      <c r="G71" s="79"/>
      <c r="H71" s="79"/>
    </row>
    <row r="72" spans="1:8">
      <c r="A72" s="79">
        <f>'Map Template'!B33</f>
        <v>582847.37586000003</v>
      </c>
      <c r="B72" s="79">
        <f>'Map Template'!C33</f>
        <v>600949.18533000001</v>
      </c>
      <c r="C72" s="79">
        <f>'Map Template'!D33</f>
        <v>0</v>
      </c>
      <c r="D72" s="79" t="str">
        <f>'Map Template'!E33</f>
        <v>D</v>
      </c>
      <c r="E72" s="79">
        <f>'Map Template'!F33</f>
        <v>582845.05923999997</v>
      </c>
      <c r="F72" s="79"/>
      <c r="G72" s="79"/>
      <c r="H72" s="79"/>
    </row>
    <row r="73" spans="1:8">
      <c r="A73" s="79">
        <f>'Map Template'!B34</f>
        <v>0</v>
      </c>
      <c r="B73" s="79">
        <f>'Map Template'!C34</f>
        <v>0</v>
      </c>
      <c r="C73" s="79">
        <f>'Map Template'!D34</f>
        <v>0</v>
      </c>
      <c r="D73" s="79" t="str">
        <f>'Map Template'!E34</f>
        <v>A</v>
      </c>
      <c r="E73" s="79">
        <f>'Map Template'!F34</f>
        <v>582642.91358000005</v>
      </c>
      <c r="F73" s="79"/>
      <c r="G73" s="79"/>
      <c r="H73" s="79"/>
    </row>
    <row r="74" spans="1:8">
      <c r="A74" s="79">
        <f>'Map Template'!B35</f>
        <v>0</v>
      </c>
      <c r="B74" s="79">
        <f>'Map Template'!C35</f>
        <v>0</v>
      </c>
      <c r="C74" s="79">
        <f>'Map Template'!D35</f>
        <v>0</v>
      </c>
      <c r="D74" s="79">
        <f>'Map Template'!E35</f>
        <v>0</v>
      </c>
      <c r="E74" s="79">
        <f>'Map Template'!F35</f>
        <v>0</v>
      </c>
      <c r="F74" s="79"/>
      <c r="G74" s="79"/>
      <c r="H74" s="79"/>
    </row>
    <row r="75" spans="1:8">
      <c r="A75" s="79" t="str">
        <f>'Map Template'!B36</f>
        <v>x</v>
      </c>
      <c r="B75" s="79" t="str">
        <f>'Map Template'!C36</f>
        <v>y</v>
      </c>
      <c r="C75" s="79">
        <f>'Map Template'!D36</f>
        <v>0</v>
      </c>
      <c r="D75" s="79">
        <f>'Map Template'!E36</f>
        <v>0</v>
      </c>
      <c r="E75" s="79">
        <f>'Map Template'!F36</f>
        <v>0</v>
      </c>
      <c r="F75" s="79"/>
      <c r="G75" s="79"/>
      <c r="H75" s="79"/>
    </row>
    <row r="76" spans="1:8">
      <c r="A76" s="79">
        <f>'Map Template'!B37</f>
        <v>582642.91358000005</v>
      </c>
      <c r="B76" s="79">
        <f>'Map Template'!C37</f>
        <v>600914.80507</v>
      </c>
      <c r="C76" s="79">
        <f>'Map Template'!D37</f>
        <v>0</v>
      </c>
      <c r="D76" s="79">
        <f>'Map Template'!E37</f>
        <v>0</v>
      </c>
      <c r="E76" s="79">
        <f>'Map Template'!F37</f>
        <v>0</v>
      </c>
      <c r="F76" s="79"/>
      <c r="G76" s="79"/>
      <c r="H76" s="79"/>
    </row>
    <row r="77" spans="1:8">
      <c r="A77" s="79">
        <f>'Map Template'!B38</f>
        <v>582845.05923999997</v>
      </c>
      <c r="B77" s="79">
        <f>'Map Template'!C38</f>
        <v>600904.26309000002</v>
      </c>
      <c r="C77" s="79">
        <f>'Map Template'!D38</f>
        <v>0</v>
      </c>
      <c r="D77" s="79">
        <f>'Map Template'!E38</f>
        <v>0</v>
      </c>
      <c r="E77" s="79">
        <f>'Map Template'!F38</f>
        <v>0</v>
      </c>
      <c r="F77" s="79"/>
      <c r="G77" s="79"/>
      <c r="H77" s="79"/>
    </row>
  </sheetData>
  <mergeCells count="1">
    <mergeCell ref="T1:V1"/>
  </mergeCells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8"/>
  <dimension ref="A1:Q25"/>
  <sheetViews>
    <sheetView zoomScale="90" zoomScaleNormal="90" workbookViewId="0">
      <selection activeCell="C37" sqref="C37"/>
    </sheetView>
  </sheetViews>
  <sheetFormatPr defaultRowHeight="15"/>
  <cols>
    <col min="3" max="3" width="16.42578125" customWidth="1"/>
    <col min="6" max="6" width="10.5703125" customWidth="1"/>
  </cols>
  <sheetData>
    <row r="1" spans="1:17" ht="19.5">
      <c r="A1" s="267" t="s">
        <v>52</v>
      </c>
      <c r="B1" s="268"/>
      <c r="C1" s="268"/>
      <c r="D1" s="268"/>
      <c r="E1" s="268"/>
      <c r="F1" s="268"/>
      <c r="G1" s="268"/>
      <c r="H1" s="268"/>
      <c r="I1" s="268"/>
      <c r="J1" s="268"/>
      <c r="K1" s="268"/>
      <c r="L1" s="268"/>
      <c r="M1" s="268"/>
      <c r="N1" s="268"/>
      <c r="O1" s="268"/>
      <c r="P1" s="268"/>
      <c r="Q1" s="269"/>
    </row>
    <row r="2" spans="1:17">
      <c r="A2" s="48"/>
      <c r="B2" s="1"/>
      <c r="C2" s="270" t="s">
        <v>53</v>
      </c>
      <c r="D2" s="270"/>
      <c r="E2" s="271"/>
      <c r="F2" s="271"/>
      <c r="G2" s="271"/>
      <c r="H2" s="271"/>
      <c r="I2" s="271"/>
      <c r="J2" s="271"/>
      <c r="K2" s="271"/>
      <c r="L2" s="271"/>
      <c r="M2" s="271"/>
      <c r="N2" s="271"/>
      <c r="O2" s="271"/>
      <c r="P2" s="271"/>
      <c r="Q2" s="272"/>
    </row>
    <row r="3" spans="1:17">
      <c r="A3" s="48"/>
      <c r="B3" s="1"/>
      <c r="C3" s="49"/>
      <c r="D3" s="50"/>
      <c r="E3" s="273" t="s">
        <v>54</v>
      </c>
      <c r="F3" s="273"/>
      <c r="G3" s="273"/>
      <c r="H3" s="273"/>
      <c r="I3" s="273"/>
      <c r="J3" s="273"/>
      <c r="K3" s="273"/>
      <c r="L3" s="273"/>
      <c r="M3" s="273"/>
      <c r="N3" s="273"/>
      <c r="O3" s="273"/>
      <c r="P3" s="273"/>
      <c r="Q3" s="274"/>
    </row>
    <row r="4" spans="1:17" ht="15.75" thickBot="1">
      <c r="A4" s="48" t="s">
        <v>55</v>
      </c>
      <c r="B4" s="1" t="s">
        <v>56</v>
      </c>
      <c r="C4" s="51" t="s">
        <v>57</v>
      </c>
      <c r="D4" s="52" t="s">
        <v>58</v>
      </c>
      <c r="E4" s="53">
        <v>320</v>
      </c>
      <c r="F4" s="53">
        <v>280</v>
      </c>
      <c r="G4" s="53">
        <v>240</v>
      </c>
      <c r="H4" s="53">
        <v>200</v>
      </c>
      <c r="I4" s="53">
        <v>160</v>
      </c>
      <c r="J4" s="53">
        <v>120</v>
      </c>
      <c r="K4" s="53">
        <v>80</v>
      </c>
      <c r="L4" s="54">
        <v>40</v>
      </c>
      <c r="M4" s="53">
        <v>32</v>
      </c>
      <c r="N4" s="53">
        <v>24</v>
      </c>
      <c r="O4" s="53">
        <v>16</v>
      </c>
      <c r="P4" s="53">
        <v>8</v>
      </c>
      <c r="Q4" s="55">
        <v>1</v>
      </c>
    </row>
    <row r="5" spans="1:17">
      <c r="A5" s="48">
        <v>1</v>
      </c>
      <c r="B5" s="1">
        <v>1.1000000000000001</v>
      </c>
      <c r="C5" s="56">
        <v>43215</v>
      </c>
      <c r="D5" s="57">
        <v>29.073483823805844</v>
      </c>
      <c r="E5" s="58">
        <v>0</v>
      </c>
      <c r="F5" s="58">
        <v>0.14584975045967496</v>
      </c>
      <c r="G5" s="58">
        <v>2.936419753086426</v>
      </c>
      <c r="H5" s="58">
        <v>0.36946259985474228</v>
      </c>
      <c r="I5" s="58">
        <v>1.9197530864197745</v>
      </c>
      <c r="J5" s="58">
        <v>3.4947530864197773</v>
      </c>
      <c r="K5" s="58">
        <v>6.2768959435626215</v>
      </c>
      <c r="L5" s="58">
        <v>5.2411816578483439</v>
      </c>
      <c r="M5" s="58">
        <v>4.2808641975308745</v>
      </c>
      <c r="N5" s="58">
        <v>1.8364197530864317</v>
      </c>
      <c r="O5" s="58">
        <v>1.6141975308642316</v>
      </c>
      <c r="P5" s="58">
        <v>6.8302469135802255</v>
      </c>
      <c r="Q5" s="59">
        <v>19.503086419753103</v>
      </c>
    </row>
    <row r="6" spans="1:17">
      <c r="A6" s="48">
        <v>2</v>
      </c>
      <c r="B6" s="1">
        <v>1.2</v>
      </c>
      <c r="C6" s="60">
        <v>43217</v>
      </c>
      <c r="D6" s="61">
        <v>25.761499252760888</v>
      </c>
      <c r="E6" s="62">
        <v>0</v>
      </c>
      <c r="F6" s="62">
        <v>0.44821428571427191</v>
      </c>
      <c r="G6" s="62">
        <v>0.93333333333333712</v>
      </c>
      <c r="H6" s="62">
        <v>1.2224999999999966</v>
      </c>
      <c r="I6" s="62">
        <v>3.1187500000000057</v>
      </c>
      <c r="J6" s="62">
        <v>0.12916666666666288</v>
      </c>
      <c r="K6" s="62">
        <v>0.15000000000000568</v>
      </c>
      <c r="L6" s="62">
        <v>3.0625</v>
      </c>
      <c r="M6" s="62">
        <v>2.9312500000000057</v>
      </c>
      <c r="N6" s="62">
        <v>1.2875000000000085</v>
      </c>
      <c r="O6" s="62">
        <v>6.4000000000000057</v>
      </c>
      <c r="P6" s="62">
        <v>6.1624999999999943</v>
      </c>
      <c r="Q6" s="63">
        <v>17.462500000000006</v>
      </c>
    </row>
    <row r="7" spans="1:17">
      <c r="A7" s="48">
        <v>3</v>
      </c>
      <c r="B7" s="1">
        <v>2.1</v>
      </c>
      <c r="C7" s="60">
        <v>43236</v>
      </c>
      <c r="D7" s="61">
        <v>26.69103295555221</v>
      </c>
      <c r="E7" s="62">
        <v>0</v>
      </c>
      <c r="F7" s="62">
        <v>3.6852678571428754</v>
      </c>
      <c r="G7" s="62">
        <v>0.8385416666666714</v>
      </c>
      <c r="H7" s="62">
        <v>0.77687499999998977</v>
      </c>
      <c r="I7" s="62">
        <v>1.953125</v>
      </c>
      <c r="J7" s="62">
        <v>2.7781250000000028</v>
      </c>
      <c r="K7" s="62">
        <v>0.20937499999999432</v>
      </c>
      <c r="L7" s="62">
        <v>2.3031249999999943</v>
      </c>
      <c r="M7" s="62">
        <v>0.33437500000000853</v>
      </c>
      <c r="N7" s="62">
        <v>2.5947916666666941</v>
      </c>
      <c r="O7" s="62">
        <v>4.6968749999999915</v>
      </c>
      <c r="P7" s="62">
        <v>2.1968749999999915</v>
      </c>
      <c r="Q7" s="62">
        <v>36.696874999999991</v>
      </c>
    </row>
    <row r="8" spans="1:17">
      <c r="A8" s="48">
        <v>4</v>
      </c>
      <c r="B8" s="1">
        <v>2.2000000000000002</v>
      </c>
      <c r="C8" s="60">
        <v>43238</v>
      </c>
      <c r="D8" s="61">
        <v>24.796513703275611</v>
      </c>
      <c r="E8" s="64"/>
      <c r="F8" s="64">
        <v>0</v>
      </c>
      <c r="G8" s="64">
        <v>0.71067728401403851</v>
      </c>
      <c r="H8" s="64">
        <v>0.22341570602374994</v>
      </c>
      <c r="I8" s="64">
        <v>3.6045819884817205</v>
      </c>
      <c r="J8" s="64">
        <v>2.2656049319290892</v>
      </c>
      <c r="K8" s="64">
        <v>3.3026039139576198</v>
      </c>
      <c r="L8" s="64">
        <v>2.4357108199902981</v>
      </c>
      <c r="M8" s="64">
        <v>8.1416787967006172</v>
      </c>
      <c r="N8" s="64">
        <v>1.4070839398350203</v>
      </c>
      <c r="O8" s="64">
        <v>3.6066634319909143</v>
      </c>
      <c r="P8" s="64">
        <v>21.106259097525477</v>
      </c>
      <c r="Q8" s="65">
        <v>19.844735565259587</v>
      </c>
    </row>
    <row r="9" spans="1:17">
      <c r="A9" s="48">
        <v>5</v>
      </c>
      <c r="B9" s="1">
        <v>3.1</v>
      </c>
      <c r="C9" s="60">
        <v>43250</v>
      </c>
      <c r="D9" s="61">
        <v>26.065338387106625</v>
      </c>
      <c r="E9" s="62">
        <v>0</v>
      </c>
      <c r="F9" s="62">
        <v>2.2459821428571303</v>
      </c>
      <c r="G9" s="62">
        <v>2.2197916666666657</v>
      </c>
      <c r="H9" s="62">
        <v>1.9831249999999869</v>
      </c>
      <c r="I9" s="62">
        <v>0.984375</v>
      </c>
      <c r="J9" s="62">
        <v>1.7718750000000085</v>
      </c>
      <c r="K9" s="62">
        <v>1.0031249999999972</v>
      </c>
      <c r="L9" s="62">
        <v>3.9781249999999915</v>
      </c>
      <c r="M9" s="62">
        <v>5.6781249999999943</v>
      </c>
      <c r="N9" s="62">
        <v>4.1364583333333371</v>
      </c>
      <c r="O9" s="62">
        <v>2.2593750000000057</v>
      </c>
      <c r="P9" s="62">
        <v>3.5718750000000057</v>
      </c>
      <c r="Q9" s="63">
        <v>73.196875000000006</v>
      </c>
    </row>
    <row r="10" spans="1:17">
      <c r="A10" s="48">
        <v>6</v>
      </c>
      <c r="B10" s="1">
        <v>4.0999999999999996</v>
      </c>
      <c r="C10" s="60">
        <v>43264</v>
      </c>
      <c r="D10" s="61">
        <v>18.746989081166461</v>
      </c>
      <c r="E10" s="62">
        <v>0</v>
      </c>
      <c r="F10" s="62">
        <v>1.2620535714285666</v>
      </c>
      <c r="G10" s="62">
        <v>1.5760416666666686</v>
      </c>
      <c r="H10" s="62">
        <v>0.62562499999999943</v>
      </c>
      <c r="I10" s="62">
        <v>0.76562500000001421</v>
      </c>
      <c r="J10" s="62">
        <v>0.68437500000000284</v>
      </c>
      <c r="K10" s="62">
        <v>2.546875</v>
      </c>
      <c r="L10" s="62">
        <v>2.1093749999999858</v>
      </c>
      <c r="M10" s="62">
        <v>2.5593750000000028</v>
      </c>
      <c r="N10" s="62">
        <v>3.8677083333333258</v>
      </c>
      <c r="O10" s="62">
        <v>2.8125000000002842E-2</v>
      </c>
      <c r="P10" s="62">
        <v>3.6593749999999972</v>
      </c>
      <c r="Q10" s="63">
        <v>15.659374999999997</v>
      </c>
    </row>
    <row r="11" spans="1:17">
      <c r="A11" s="48">
        <v>7</v>
      </c>
      <c r="B11" s="1">
        <v>5.0999999999999996</v>
      </c>
      <c r="C11" s="60">
        <v>43305</v>
      </c>
      <c r="D11" s="61">
        <v>20.579418381905267</v>
      </c>
      <c r="E11" s="62">
        <v>0</v>
      </c>
      <c r="F11" s="62">
        <v>0.30089285714285552</v>
      </c>
      <c r="G11" s="62">
        <v>3.6479166666666742</v>
      </c>
      <c r="H11" s="62">
        <v>1.3187499999999943</v>
      </c>
      <c r="I11" s="62">
        <v>0.65000000000000568</v>
      </c>
      <c r="J11" s="62">
        <v>0.90208333333332291</v>
      </c>
      <c r="K11" s="62">
        <v>4.2062499999999972</v>
      </c>
      <c r="L11" s="62">
        <v>8.2062500000000114</v>
      </c>
      <c r="M11" s="62">
        <v>5.0562500000000057</v>
      </c>
      <c r="N11" s="62">
        <v>6.9854166666666586</v>
      </c>
      <c r="O11" s="62">
        <v>1.4312500000000057</v>
      </c>
      <c r="P11" s="62">
        <v>7.9312500000000057</v>
      </c>
      <c r="Q11" s="63">
        <v>10.693749999999994</v>
      </c>
    </row>
    <row r="12" spans="1:17">
      <c r="A12" s="48">
        <v>8</v>
      </c>
      <c r="B12" s="1">
        <v>5.2</v>
      </c>
      <c r="C12" s="60">
        <v>43307</v>
      </c>
      <c r="D12" s="61">
        <v>28.032466599881456</v>
      </c>
      <c r="E12" s="62"/>
      <c r="F12" s="64">
        <v>0</v>
      </c>
      <c r="G12" s="62">
        <v>3.5728814347315687</v>
      </c>
      <c r="H12" s="62">
        <v>1.2940970731784676</v>
      </c>
      <c r="I12" s="62">
        <v>0.55054422995972496</v>
      </c>
      <c r="J12" s="62">
        <v>7.2909039134325919</v>
      </c>
      <c r="K12" s="62">
        <v>0.90191332411247505</v>
      </c>
      <c r="L12" s="62">
        <v>0.63393268787459012</v>
      </c>
      <c r="M12" s="62">
        <v>6.6390041493776044</v>
      </c>
      <c r="N12" s="62">
        <v>2.1207929921623139</v>
      </c>
      <c r="O12" s="62">
        <v>11.65859843245738</v>
      </c>
      <c r="P12" s="62">
        <v>10.788381742738586</v>
      </c>
      <c r="Q12" s="63">
        <v>46.749654218533884</v>
      </c>
    </row>
    <row r="13" spans="1:17">
      <c r="A13" s="48">
        <v>9</v>
      </c>
      <c r="B13" s="1">
        <v>6.1</v>
      </c>
      <c r="C13" s="60">
        <v>43335</v>
      </c>
      <c r="D13" s="61">
        <v>16.81479538234111</v>
      </c>
      <c r="E13" s="62">
        <v>0</v>
      </c>
      <c r="F13" s="62">
        <v>0.30535714285714022</v>
      </c>
      <c r="G13" s="62">
        <v>1.00833333333334</v>
      </c>
      <c r="H13" s="62">
        <v>0.47749999999999915</v>
      </c>
      <c r="I13" s="62">
        <v>0.18125000000000568</v>
      </c>
      <c r="J13" s="62">
        <v>1.7708333333333286</v>
      </c>
      <c r="K13" s="62">
        <v>1.4625000000000057</v>
      </c>
      <c r="L13" s="62">
        <v>5.4874999999999972</v>
      </c>
      <c r="M13" s="62">
        <v>8.1250000000004263E-2</v>
      </c>
      <c r="N13" s="62">
        <v>1.30416666666666</v>
      </c>
      <c r="O13" s="62">
        <v>3.7624999999999957</v>
      </c>
      <c r="P13" s="62">
        <v>2.6125000000000043</v>
      </c>
      <c r="Q13" s="63">
        <v>24.737500000000004</v>
      </c>
    </row>
    <row r="14" spans="1:17">
      <c r="A14" s="48">
        <v>10</v>
      </c>
      <c r="B14" s="1">
        <v>6.2</v>
      </c>
      <c r="C14" s="60">
        <v>43349</v>
      </c>
      <c r="D14" s="61">
        <v>13.873845320760017</v>
      </c>
      <c r="E14" s="62">
        <v>0</v>
      </c>
      <c r="F14" s="62">
        <v>0.72187500000000426</v>
      </c>
      <c r="G14" s="62">
        <v>1.5239583333333329</v>
      </c>
      <c r="H14" s="62">
        <v>0.57812499999999289</v>
      </c>
      <c r="I14" s="62">
        <v>0.88437499999999858</v>
      </c>
      <c r="J14" s="62">
        <v>0.17187499999999289</v>
      </c>
      <c r="K14" s="62">
        <v>1.3218749999999986</v>
      </c>
      <c r="L14" s="62">
        <v>1.5031250000000043</v>
      </c>
      <c r="M14" s="62">
        <v>3.3781250000000043</v>
      </c>
      <c r="N14" s="62">
        <v>4.05520833333334</v>
      </c>
      <c r="O14" s="62">
        <v>1.5281249999999957</v>
      </c>
      <c r="P14" s="62">
        <v>0.65312499999999574</v>
      </c>
      <c r="Q14" s="63">
        <v>2.8124999999995737E-2</v>
      </c>
    </row>
    <row r="15" spans="1:17">
      <c r="A15" s="48">
        <v>11</v>
      </c>
      <c r="B15" s="1">
        <v>7.1</v>
      </c>
      <c r="C15" s="60">
        <v>43390</v>
      </c>
      <c r="D15" s="61">
        <v>24.240320233033216</v>
      </c>
      <c r="E15" s="62">
        <v>0</v>
      </c>
      <c r="F15" s="62">
        <v>2.621428571428595</v>
      </c>
      <c r="G15" s="62">
        <v>2.0166666666666799</v>
      </c>
      <c r="H15" s="62">
        <v>0.44000000000001194</v>
      </c>
      <c r="I15" s="62">
        <v>0.95000000000000284</v>
      </c>
      <c r="J15" s="62">
        <v>2.6583333333333456</v>
      </c>
      <c r="K15" s="62">
        <v>3.5374999999999943</v>
      </c>
      <c r="L15" s="62">
        <v>0.64999999999999147</v>
      </c>
      <c r="M15" s="62">
        <v>7.2750000000000057</v>
      </c>
      <c r="N15" s="62">
        <v>3.9000000000000199</v>
      </c>
      <c r="O15" s="62">
        <v>3.7249999999999943</v>
      </c>
      <c r="P15" s="62">
        <v>0.52500000000000568</v>
      </c>
      <c r="Q15" s="63">
        <v>25.775000000000006</v>
      </c>
    </row>
    <row r="16" spans="1:17">
      <c r="A16" s="48">
        <v>12</v>
      </c>
      <c r="B16" s="1">
        <v>7.2</v>
      </c>
      <c r="C16" s="60">
        <v>43395</v>
      </c>
      <c r="D16" s="61">
        <v>24.960420035716048</v>
      </c>
      <c r="E16" s="62">
        <v>0</v>
      </c>
      <c r="F16" s="62">
        <v>0.97723214285713311</v>
      </c>
      <c r="G16" s="62">
        <v>2.2677083333333314</v>
      </c>
      <c r="H16" s="62">
        <v>2.4293749999999932</v>
      </c>
      <c r="I16" s="62">
        <v>0.83437500000000853</v>
      </c>
      <c r="J16" s="62">
        <v>3.4489583333333371</v>
      </c>
      <c r="K16" s="62">
        <v>1.3093749999999886</v>
      </c>
      <c r="L16" s="62">
        <v>3.2906250000000057</v>
      </c>
      <c r="M16" s="62">
        <v>5.3218749999999915</v>
      </c>
      <c r="N16" s="62">
        <v>11.323958333333337</v>
      </c>
      <c r="O16" s="62">
        <v>7.1343749999999915</v>
      </c>
      <c r="P16" s="62">
        <v>2.7593749999999915</v>
      </c>
      <c r="Q16" s="63">
        <v>4.1343749999999915</v>
      </c>
    </row>
    <row r="17" spans="1:17">
      <c r="A17" s="48"/>
      <c r="B17" s="1"/>
      <c r="C17" s="66" t="s">
        <v>59</v>
      </c>
      <c r="D17" s="67">
        <f>AVERAGE(D5:D16)</f>
        <v>23.303010263108728</v>
      </c>
      <c r="E17" s="68">
        <v>0</v>
      </c>
      <c r="F17" s="68">
        <v>1.2714153321888246</v>
      </c>
      <c r="G17" s="68">
        <v>1.9376891782082282</v>
      </c>
      <c r="H17" s="68">
        <v>0.97823753158807703</v>
      </c>
      <c r="I17" s="68">
        <v>1.3663961920717718</v>
      </c>
      <c r="J17" s="68">
        <v>2.2805739109817886</v>
      </c>
      <c r="K17" s="68">
        <v>2.1856906818027246</v>
      </c>
      <c r="L17" s="68">
        <v>3.2417875138094345</v>
      </c>
      <c r="M17" s="68">
        <v>4.3064310119674269</v>
      </c>
      <c r="N17" s="68">
        <v>3.7349587515347622</v>
      </c>
      <c r="O17" s="68">
        <v>3.9870903662760426</v>
      </c>
      <c r="P17" s="68">
        <v>5.7330635628203561</v>
      </c>
      <c r="Q17" s="69">
        <v>24.540154266962208</v>
      </c>
    </row>
    <row r="18" spans="1:17" ht="15.75" thickBot="1">
      <c r="A18" s="70"/>
      <c r="B18" s="71"/>
      <c r="C18" s="72" t="s">
        <v>60</v>
      </c>
      <c r="D18" s="73"/>
      <c r="E18" s="74" t="e">
        <f>E17*Model!#REF!</f>
        <v>#REF!</v>
      </c>
      <c r="F18" s="74">
        <f>F17*Model!$F$14</f>
        <v>0</v>
      </c>
      <c r="G18" s="74">
        <f>G17*Model!$F$14</f>
        <v>0</v>
      </c>
      <c r="H18" s="74">
        <f>H17*Model!$F$14</f>
        <v>0</v>
      </c>
      <c r="I18" s="74">
        <f>I17*Model!$F$14</f>
        <v>0</v>
      </c>
      <c r="J18" s="74">
        <f>J17*Model!$F$14</f>
        <v>0</v>
      </c>
      <c r="K18" s="74">
        <f>K17*Model!$F$14</f>
        <v>0</v>
      </c>
      <c r="L18" s="74">
        <f>L17*Model!$F$14</f>
        <v>0</v>
      </c>
      <c r="M18" s="74">
        <f>M17*Model!$F$14</f>
        <v>0</v>
      </c>
      <c r="N18" s="74">
        <f>N17*Model!$F$14</f>
        <v>0</v>
      </c>
      <c r="O18" s="74">
        <f>O17*Model!$F$14</f>
        <v>0</v>
      </c>
      <c r="P18" s="74">
        <f>P17*Model!$F$14</f>
        <v>0</v>
      </c>
      <c r="Q18" s="74">
        <f>Q17*Model!$F$14</f>
        <v>0</v>
      </c>
    </row>
    <row r="19" spans="1:17">
      <c r="F19" s="78">
        <f>F17*Model!$F$15</f>
        <v>0</v>
      </c>
      <c r="G19" s="78">
        <f>G17*Model!$F$15</f>
        <v>0</v>
      </c>
      <c r="H19" s="78">
        <f>H17*Model!$F$15</f>
        <v>0</v>
      </c>
      <c r="I19" s="78">
        <f>I17*Model!$F$15</f>
        <v>0</v>
      </c>
      <c r="J19" s="78">
        <f>J17*Model!$F$15</f>
        <v>0</v>
      </c>
      <c r="K19" s="78">
        <f>K17*Model!$F$15</f>
        <v>0</v>
      </c>
      <c r="L19" s="78">
        <f>L17*Model!$F$15</f>
        <v>0</v>
      </c>
      <c r="M19" s="78">
        <f>M17*Model!$F$15</f>
        <v>0</v>
      </c>
      <c r="N19" s="78">
        <f>N17*Model!$F$15</f>
        <v>0</v>
      </c>
      <c r="O19" s="78">
        <f>O17*Model!$F$15</f>
        <v>0</v>
      </c>
      <c r="P19" s="78">
        <f>P17*Model!$F$15</f>
        <v>0</v>
      </c>
      <c r="Q19" s="78">
        <f>Q17*Model!$F$15</f>
        <v>0</v>
      </c>
    </row>
    <row r="20" spans="1:17">
      <c r="A20">
        <f>LN(A21)</f>
        <v>-0.49784095857473615</v>
      </c>
      <c r="B20" t="s">
        <v>109</v>
      </c>
    </row>
    <row r="21" spans="1:17">
      <c r="A21" s="97">
        <f t="array" ref="A21:B25">LOGEST('Error Rel'!F17:Q17,LN('Error Rel'!F4:Q4),TRUE,TRUE)</f>
        <v>0.60784159920974479</v>
      </c>
      <c r="B21" s="96">
        <v>19.926066540983651</v>
      </c>
    </row>
    <row r="22" spans="1:17">
      <c r="A22" s="24">
        <v>4.2964637391552804E-2</v>
      </c>
      <c r="B22" s="14">
        <v>0.17778508594336162</v>
      </c>
    </row>
    <row r="23" spans="1:17">
      <c r="A23" s="92">
        <v>0.93068254308497089</v>
      </c>
      <c r="B23" s="93">
        <v>0.23664813277882568</v>
      </c>
      <c r="Q23" s="75"/>
    </row>
    <row r="24" spans="1:17">
      <c r="A24" s="24">
        <v>134.26380373789846</v>
      </c>
      <c r="B24" s="14">
        <v>10</v>
      </c>
    </row>
    <row r="25" spans="1:17">
      <c r="A25" s="94">
        <v>7.5190870184851324</v>
      </c>
      <c r="B25" s="17">
        <v>0.56002338747704716</v>
      </c>
    </row>
  </sheetData>
  <mergeCells count="3">
    <mergeCell ref="A1:Q1"/>
    <mergeCell ref="C2:Q2"/>
    <mergeCell ref="E3:Q3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B1:AI91"/>
  <sheetViews>
    <sheetView topLeftCell="A62" zoomScale="70" zoomScaleNormal="70" workbookViewId="0">
      <selection activeCell="D90" sqref="D90:E91"/>
    </sheetView>
  </sheetViews>
  <sheetFormatPr defaultRowHeight="15"/>
  <cols>
    <col min="1" max="1" width="18.42578125" customWidth="1"/>
  </cols>
  <sheetData>
    <row r="1" spans="2:35">
      <c r="B1" s="27"/>
      <c r="C1" s="27"/>
      <c r="D1" s="27" t="s">
        <v>23</v>
      </c>
      <c r="E1" s="27" t="s">
        <v>24</v>
      </c>
      <c r="F1" s="27"/>
      <c r="G1" s="27" t="s">
        <v>23</v>
      </c>
      <c r="H1" s="18" t="s">
        <v>24</v>
      </c>
      <c r="I1" s="12"/>
      <c r="J1" s="27"/>
      <c r="K1" s="27" t="s">
        <v>23</v>
      </c>
      <c r="L1" s="27" t="s">
        <v>39</v>
      </c>
      <c r="M1" s="27"/>
      <c r="N1" s="27" t="s">
        <v>23</v>
      </c>
      <c r="O1" s="18" t="s">
        <v>24</v>
      </c>
      <c r="P1" s="12"/>
      <c r="Q1" s="27"/>
      <c r="R1" s="27" t="s">
        <v>23</v>
      </c>
      <c r="S1" s="27" t="s">
        <v>24</v>
      </c>
      <c r="T1" s="27"/>
      <c r="U1" s="27" t="s">
        <v>23</v>
      </c>
      <c r="V1" s="18" t="s">
        <v>24</v>
      </c>
      <c r="W1" s="12"/>
      <c r="X1" s="27"/>
      <c r="Y1" s="27" t="s">
        <v>23</v>
      </c>
      <c r="Z1" s="27" t="s">
        <v>24</v>
      </c>
      <c r="AA1" s="27"/>
      <c r="AB1" s="27" t="s">
        <v>23</v>
      </c>
      <c r="AC1" s="18" t="s">
        <v>24</v>
      </c>
      <c r="AD1" s="8"/>
      <c r="AE1" s="8"/>
      <c r="AF1" s="8"/>
      <c r="AG1" s="8"/>
      <c r="AH1" s="8"/>
      <c r="AI1" s="8"/>
    </row>
    <row r="2" spans="2:35">
      <c r="B2" s="25" t="s">
        <v>29</v>
      </c>
      <c r="C2" s="23" t="s">
        <v>3</v>
      </c>
      <c r="D2" s="170">
        <f>('Map Template'!B42)+2</f>
        <v>582644.91358000005</v>
      </c>
      <c r="E2" s="170">
        <f>('Map Template'!C42)+2</f>
        <v>600916.80507</v>
      </c>
      <c r="F2" s="170" t="s">
        <v>30</v>
      </c>
      <c r="G2" s="26">
        <f>'Map Template'!A66</f>
        <v>582693.45835874998</v>
      </c>
      <c r="H2" s="47">
        <f>'Map Template'!B66</f>
        <v>600912.16913882701</v>
      </c>
      <c r="I2" s="172" t="s">
        <v>32</v>
      </c>
      <c r="J2" s="170" t="s">
        <v>30</v>
      </c>
      <c r="K2" s="170">
        <f>'Map Template'!A66</f>
        <v>582693.45835874998</v>
      </c>
      <c r="L2" s="170">
        <f>('Map Template'!B66)+2</f>
        <v>600914.16913882701</v>
      </c>
      <c r="M2" s="170" t="s">
        <v>33</v>
      </c>
      <c r="N2" s="26">
        <f>'Map Template'!A68</f>
        <v>582744.00313750003</v>
      </c>
      <c r="O2" s="47">
        <f>('Map Template'!B68)+2</f>
        <v>600911.53320765391</v>
      </c>
      <c r="P2" s="172" t="s">
        <v>35</v>
      </c>
      <c r="Q2" s="170" t="s">
        <v>33</v>
      </c>
      <c r="R2" s="170">
        <f>'Map Template'!A68</f>
        <v>582744.00313750003</v>
      </c>
      <c r="S2" s="170">
        <f>('Map Template'!B68)+2</f>
        <v>600911.53320765391</v>
      </c>
      <c r="T2" s="170" t="s">
        <v>36</v>
      </c>
      <c r="U2" s="26">
        <f>'Map Template'!A70</f>
        <v>582794.54791625007</v>
      </c>
      <c r="V2" s="47">
        <f>'Map Template'!B70</f>
        <v>600906.89727648092</v>
      </c>
      <c r="W2" s="172" t="s">
        <v>38</v>
      </c>
      <c r="X2" s="170" t="s">
        <v>36</v>
      </c>
      <c r="Y2" s="170">
        <f>'Map Template'!A70</f>
        <v>582794.54791625007</v>
      </c>
      <c r="Z2" s="170">
        <f>('Map Template'!B70)+2</f>
        <v>600908.89727648092</v>
      </c>
      <c r="AA2" s="170" t="s">
        <v>5</v>
      </c>
      <c r="AB2" s="26">
        <f>('Map Template'!B43)-2</f>
        <v>582843.05923999997</v>
      </c>
      <c r="AC2" s="47">
        <f>('Map Template'!C43)+2</f>
        <v>600906.26309000002</v>
      </c>
      <c r="AD2" s="42"/>
    </row>
    <row r="3" spans="2:35">
      <c r="B3" s="23"/>
      <c r="C3" s="23" t="s">
        <v>4</v>
      </c>
      <c r="D3" s="170">
        <f>('Map Template'!B45)+2</f>
        <v>582647.16329000005</v>
      </c>
      <c r="E3" s="170">
        <f>('Map Template'!C45)-2</f>
        <v>600957.79617999995</v>
      </c>
      <c r="F3" s="170" t="s">
        <v>31</v>
      </c>
      <c r="G3" s="26">
        <f>'Map Template'!A67</f>
        <v>582695.7080687501</v>
      </c>
      <c r="H3" s="47">
        <f>'Map Template'!B67</f>
        <v>600957.14390637714</v>
      </c>
      <c r="I3" s="173"/>
      <c r="J3" s="170" t="s">
        <v>31</v>
      </c>
      <c r="K3" s="170">
        <f>'Map Template'!A67</f>
        <v>582695.7080687501</v>
      </c>
      <c r="L3" s="170">
        <f>('Map Template'!B67)-2</f>
        <v>600955.14390637714</v>
      </c>
      <c r="M3" s="170" t="s">
        <v>34</v>
      </c>
      <c r="N3" s="26">
        <f>'Map Template'!A69</f>
        <v>582746.25284750015</v>
      </c>
      <c r="O3" s="47">
        <f>('Map Template'!B69)-2</f>
        <v>600952.49163275433</v>
      </c>
      <c r="P3" s="173"/>
      <c r="Q3" s="170" t="s">
        <v>34</v>
      </c>
      <c r="R3" s="170">
        <f>'Map Template'!A69</f>
        <v>582746.25284750015</v>
      </c>
      <c r="S3" s="170">
        <f>('Map Template'!B69)-2</f>
        <v>600952.49163275433</v>
      </c>
      <c r="T3" s="170" t="s">
        <v>37</v>
      </c>
      <c r="U3" s="26">
        <f>'Map Template'!A71</f>
        <v>582796.79762625019</v>
      </c>
      <c r="V3" s="47">
        <f>'Map Template'!B71</f>
        <v>600951.83935913164</v>
      </c>
      <c r="W3" s="173"/>
      <c r="X3" s="170" t="s">
        <v>37</v>
      </c>
      <c r="Y3" s="170">
        <f>'Map Template'!A71</f>
        <v>582796.79762625019</v>
      </c>
      <c r="Z3" s="170">
        <f>('Map Template'!B71)-2</f>
        <v>600949.83935913164</v>
      </c>
      <c r="AA3" s="170" t="s">
        <v>6</v>
      </c>
      <c r="AB3" s="26">
        <f>('Map Template'!B44)-2</f>
        <v>582845.37586000003</v>
      </c>
      <c r="AC3" s="47">
        <f>('Map Template'!C44)-2</f>
        <v>600947.18533000001</v>
      </c>
      <c r="AD3" s="42"/>
    </row>
    <row r="4" spans="2:35">
      <c r="B4" s="13"/>
      <c r="C4" s="13"/>
      <c r="D4" s="13"/>
      <c r="E4" s="13"/>
      <c r="F4" s="13"/>
      <c r="G4" s="13"/>
      <c r="H4" s="14"/>
      <c r="I4" s="24"/>
      <c r="J4" s="13"/>
      <c r="K4" s="13"/>
      <c r="L4" s="13"/>
      <c r="M4" s="13"/>
      <c r="N4" s="13"/>
      <c r="O4" s="14"/>
      <c r="P4" s="24"/>
      <c r="Q4" s="13"/>
      <c r="R4" s="13"/>
      <c r="S4" s="13"/>
      <c r="T4" s="13"/>
      <c r="U4" s="13"/>
      <c r="V4" s="14"/>
      <c r="W4" s="24"/>
      <c r="X4" s="13"/>
      <c r="Y4" s="13"/>
      <c r="Z4" s="13"/>
      <c r="AA4" s="13"/>
      <c r="AB4" s="13"/>
      <c r="AC4" s="14"/>
    </row>
    <row r="5" spans="2:35">
      <c r="C5" s="13">
        <v>1</v>
      </c>
      <c r="D5" s="11">
        <v>582687</v>
      </c>
      <c r="E5" s="11">
        <v>600956</v>
      </c>
      <c r="F5" s="13"/>
      <c r="G5" s="13"/>
      <c r="H5" s="14"/>
      <c r="J5" s="13">
        <v>1</v>
      </c>
      <c r="K5" s="11">
        <v>582707</v>
      </c>
      <c r="L5" s="11">
        <v>600944</v>
      </c>
      <c r="M5" s="13"/>
      <c r="N5" s="13"/>
      <c r="O5" s="14"/>
      <c r="Q5" s="13">
        <v>1</v>
      </c>
      <c r="R5" s="11">
        <v>582786</v>
      </c>
      <c r="S5" s="11">
        <v>600936</v>
      </c>
      <c r="T5" s="13"/>
      <c r="U5" s="13"/>
      <c r="V5" s="14"/>
      <c r="X5" s="13">
        <v>1</v>
      </c>
      <c r="Y5" s="11">
        <v>582824</v>
      </c>
      <c r="Z5" s="11">
        <v>600914</v>
      </c>
      <c r="AA5" s="13"/>
      <c r="AB5" s="13"/>
      <c r="AC5" s="14"/>
    </row>
    <row r="6" spans="2:35">
      <c r="C6" s="13">
        <v>2</v>
      </c>
      <c r="D6" s="11">
        <v>582646</v>
      </c>
      <c r="E6" s="11">
        <v>600955</v>
      </c>
      <c r="F6" s="13"/>
      <c r="G6" s="13"/>
      <c r="H6" s="14"/>
      <c r="J6" s="13">
        <v>2</v>
      </c>
      <c r="K6" s="11">
        <v>582731</v>
      </c>
      <c r="L6" s="11">
        <v>600917</v>
      </c>
      <c r="M6" s="13"/>
      <c r="N6" s="13"/>
      <c r="O6" s="14"/>
      <c r="Q6" s="13">
        <v>2</v>
      </c>
      <c r="R6" s="11">
        <v>582766</v>
      </c>
      <c r="S6" s="11">
        <v>600916</v>
      </c>
      <c r="T6" s="13"/>
      <c r="U6" s="13"/>
      <c r="V6" s="14"/>
      <c r="X6" s="13">
        <v>2</v>
      </c>
      <c r="Y6" s="11">
        <v>582813</v>
      </c>
      <c r="Z6" s="11">
        <v>600940</v>
      </c>
      <c r="AA6" s="13"/>
      <c r="AB6" s="13"/>
      <c r="AC6" s="14"/>
    </row>
    <row r="7" spans="2:35">
      <c r="C7" s="13">
        <v>3</v>
      </c>
      <c r="D7" s="11">
        <v>582677</v>
      </c>
      <c r="E7" s="11">
        <v>600948</v>
      </c>
      <c r="F7" s="26"/>
      <c r="G7" s="13"/>
      <c r="H7" s="14"/>
      <c r="J7" s="13">
        <v>3</v>
      </c>
      <c r="K7" s="11">
        <v>582700</v>
      </c>
      <c r="L7" s="11">
        <v>600922</v>
      </c>
      <c r="M7" s="13"/>
      <c r="N7" s="13"/>
      <c r="O7" s="14"/>
      <c r="Q7" s="13">
        <v>3</v>
      </c>
      <c r="R7" s="11">
        <v>582755</v>
      </c>
      <c r="S7" s="11">
        <v>600932</v>
      </c>
      <c r="T7" s="13"/>
      <c r="U7" s="13"/>
      <c r="V7" s="14"/>
      <c r="X7" s="13">
        <v>3</v>
      </c>
      <c r="Y7" s="11">
        <v>582820</v>
      </c>
      <c r="Z7" s="11">
        <v>600920</v>
      </c>
      <c r="AA7" s="13"/>
      <c r="AB7" s="13"/>
      <c r="AC7" s="14"/>
    </row>
    <row r="8" spans="2:35">
      <c r="C8" s="26">
        <v>4</v>
      </c>
      <c r="D8" s="11">
        <v>582683</v>
      </c>
      <c r="E8" s="11">
        <v>600926</v>
      </c>
      <c r="F8" s="26"/>
      <c r="G8" s="13"/>
      <c r="H8" s="14"/>
      <c r="J8" s="13">
        <v>4</v>
      </c>
      <c r="K8" s="11">
        <v>582729</v>
      </c>
      <c r="L8" s="11">
        <v>600951</v>
      </c>
      <c r="M8" s="13"/>
      <c r="N8" s="13"/>
      <c r="O8" s="14"/>
      <c r="Q8" s="13">
        <v>4</v>
      </c>
      <c r="R8" s="11">
        <v>582776</v>
      </c>
      <c r="S8" s="11">
        <v>600941</v>
      </c>
      <c r="T8" s="13"/>
      <c r="U8" s="13"/>
      <c r="V8" s="14"/>
      <c r="X8" s="13">
        <v>4</v>
      </c>
      <c r="Y8" s="11">
        <v>582840</v>
      </c>
      <c r="Z8" s="11">
        <v>600941</v>
      </c>
      <c r="AA8" s="13"/>
      <c r="AB8" s="13"/>
      <c r="AC8" s="14"/>
    </row>
    <row r="9" spans="2:35">
      <c r="C9" s="13">
        <v>5</v>
      </c>
      <c r="D9" s="11">
        <v>582653</v>
      </c>
      <c r="E9" s="11">
        <v>600925</v>
      </c>
      <c r="F9" s="26"/>
      <c r="G9" s="13"/>
      <c r="H9" s="14"/>
      <c r="J9" s="13">
        <v>5</v>
      </c>
      <c r="K9" s="11">
        <v>582722</v>
      </c>
      <c r="L9" s="11">
        <v>600952</v>
      </c>
      <c r="M9" s="13"/>
      <c r="N9" s="13"/>
      <c r="O9" s="14"/>
      <c r="Q9" s="13">
        <v>5</v>
      </c>
      <c r="R9" s="11">
        <v>582776</v>
      </c>
      <c r="S9" s="11">
        <v>600918</v>
      </c>
      <c r="T9" s="13"/>
      <c r="U9" s="13"/>
      <c r="V9" s="14"/>
      <c r="X9" s="13">
        <v>5</v>
      </c>
      <c r="Y9" s="11">
        <v>582829</v>
      </c>
      <c r="Z9" s="11">
        <v>600942</v>
      </c>
      <c r="AA9" s="13"/>
      <c r="AB9" s="13"/>
      <c r="AC9" s="14"/>
    </row>
    <row r="10" spans="2:35">
      <c r="C10" s="13">
        <v>6</v>
      </c>
      <c r="D10" s="11">
        <v>582647</v>
      </c>
      <c r="E10" s="11">
        <v>600927</v>
      </c>
      <c r="F10" s="26"/>
      <c r="G10" s="13"/>
      <c r="H10" s="14"/>
      <c r="J10" s="13">
        <v>6</v>
      </c>
      <c r="K10" s="11">
        <v>582719</v>
      </c>
      <c r="L10" s="11">
        <v>600950</v>
      </c>
      <c r="M10" s="13"/>
      <c r="N10" s="13"/>
      <c r="O10" s="14"/>
      <c r="Q10" s="13">
        <v>6</v>
      </c>
      <c r="R10" s="11">
        <v>582758</v>
      </c>
      <c r="S10" s="11">
        <v>600912</v>
      </c>
      <c r="T10" s="13"/>
      <c r="U10" s="13"/>
      <c r="V10" s="14"/>
      <c r="X10" s="13">
        <v>6</v>
      </c>
      <c r="Y10" s="11">
        <v>582835</v>
      </c>
      <c r="Z10" s="11">
        <v>600918</v>
      </c>
      <c r="AA10" s="13"/>
      <c r="AB10" s="13"/>
      <c r="AC10" s="14"/>
    </row>
    <row r="11" spans="2:35">
      <c r="C11" s="13">
        <v>7</v>
      </c>
      <c r="D11" s="11">
        <v>582681</v>
      </c>
      <c r="E11" s="11">
        <v>600917</v>
      </c>
      <c r="F11" s="26"/>
      <c r="G11" s="13"/>
      <c r="H11" s="14"/>
      <c r="J11" s="13">
        <v>7</v>
      </c>
      <c r="K11" s="11">
        <v>582742</v>
      </c>
      <c r="L11" s="11">
        <v>600948</v>
      </c>
      <c r="M11" s="13"/>
      <c r="N11" s="13"/>
      <c r="O11" s="14"/>
      <c r="Q11" s="13">
        <v>7</v>
      </c>
      <c r="R11" s="11">
        <v>582765</v>
      </c>
      <c r="S11" s="11">
        <v>600944</v>
      </c>
      <c r="T11" s="13"/>
      <c r="U11" s="13"/>
      <c r="V11" s="14"/>
      <c r="X11" s="13">
        <v>7</v>
      </c>
      <c r="Y11" s="11">
        <v>582830</v>
      </c>
      <c r="Z11" s="11">
        <v>600932</v>
      </c>
      <c r="AA11" s="13"/>
      <c r="AB11" s="13"/>
      <c r="AC11" s="14"/>
    </row>
    <row r="12" spans="2:35">
      <c r="C12" s="26">
        <v>8</v>
      </c>
      <c r="D12" s="11">
        <v>582690</v>
      </c>
      <c r="E12" s="11">
        <v>600928</v>
      </c>
      <c r="F12" s="26"/>
      <c r="G12" s="13"/>
      <c r="H12" s="14"/>
      <c r="J12" s="13">
        <v>8</v>
      </c>
      <c r="K12" s="11">
        <v>582727</v>
      </c>
      <c r="L12" s="11">
        <v>600923</v>
      </c>
      <c r="M12" s="13"/>
      <c r="N12" s="13"/>
      <c r="O12" s="14"/>
      <c r="Q12" s="13">
        <v>8</v>
      </c>
      <c r="R12" s="11">
        <v>582788</v>
      </c>
      <c r="S12" s="11">
        <v>600943</v>
      </c>
      <c r="T12" s="13"/>
      <c r="U12" s="13"/>
      <c r="V12" s="14"/>
      <c r="X12" s="13">
        <v>8</v>
      </c>
      <c r="Y12" s="11">
        <v>582845</v>
      </c>
      <c r="Z12" s="11">
        <v>600911</v>
      </c>
      <c r="AA12" s="13"/>
      <c r="AB12" s="13"/>
      <c r="AC12" s="14"/>
    </row>
    <row r="13" spans="2:35">
      <c r="C13" s="13">
        <v>9</v>
      </c>
      <c r="D13" s="11">
        <v>582685</v>
      </c>
      <c r="E13" s="11">
        <v>600942</v>
      </c>
      <c r="F13" s="26"/>
      <c r="G13" s="13"/>
      <c r="H13" s="14"/>
      <c r="J13" s="13">
        <v>9</v>
      </c>
      <c r="K13" s="11">
        <v>582696</v>
      </c>
      <c r="L13" s="11">
        <v>600939</v>
      </c>
      <c r="M13" s="13"/>
      <c r="N13" s="13"/>
      <c r="O13" s="14"/>
      <c r="Q13" s="13">
        <v>9</v>
      </c>
      <c r="R13" s="11">
        <v>582774</v>
      </c>
      <c r="S13" s="11">
        <v>600913</v>
      </c>
      <c r="T13" s="13"/>
      <c r="U13" s="13"/>
      <c r="V13" s="14"/>
      <c r="X13" s="13">
        <v>9</v>
      </c>
      <c r="Y13" s="11">
        <v>582825</v>
      </c>
      <c r="Z13" s="11">
        <v>600933</v>
      </c>
      <c r="AA13" s="13"/>
      <c r="AB13" s="13"/>
      <c r="AC13" s="14"/>
    </row>
    <row r="14" spans="2:35">
      <c r="C14" s="13">
        <v>10</v>
      </c>
      <c r="D14" s="11">
        <v>582651</v>
      </c>
      <c r="E14" s="11">
        <v>600948</v>
      </c>
      <c r="F14" s="13"/>
      <c r="G14" s="13"/>
      <c r="H14" s="14"/>
      <c r="J14" s="13">
        <v>10</v>
      </c>
      <c r="K14" s="11">
        <v>582731</v>
      </c>
      <c r="L14" s="11">
        <v>600938</v>
      </c>
      <c r="M14" s="13"/>
      <c r="N14" s="13"/>
      <c r="O14" s="14"/>
      <c r="Q14" s="13">
        <v>10</v>
      </c>
      <c r="R14" s="11">
        <v>582786</v>
      </c>
      <c r="S14" s="11">
        <v>600915</v>
      </c>
      <c r="T14" s="13"/>
      <c r="U14" s="13"/>
      <c r="V14" s="14"/>
      <c r="X14" s="13">
        <v>10</v>
      </c>
      <c r="Y14" s="11">
        <v>582796</v>
      </c>
      <c r="Z14" s="11">
        <v>600912</v>
      </c>
      <c r="AA14" s="13"/>
      <c r="AB14" s="13"/>
      <c r="AC14" s="14"/>
    </row>
    <row r="15" spans="2:35">
      <c r="C15" s="13">
        <v>11</v>
      </c>
      <c r="D15" s="11">
        <v>582663</v>
      </c>
      <c r="E15" s="11">
        <v>600952</v>
      </c>
      <c r="F15" s="13"/>
      <c r="G15" s="13"/>
      <c r="H15" s="14"/>
      <c r="J15" s="13">
        <v>11</v>
      </c>
      <c r="K15" s="11">
        <v>582694</v>
      </c>
      <c r="L15" s="11">
        <v>600938</v>
      </c>
      <c r="M15" s="13"/>
      <c r="N15" s="13"/>
      <c r="O15" s="14"/>
      <c r="Q15" s="13">
        <v>11</v>
      </c>
      <c r="R15" s="11">
        <v>582766</v>
      </c>
      <c r="S15" s="11">
        <v>600929</v>
      </c>
      <c r="T15" s="13"/>
      <c r="U15" s="13"/>
      <c r="V15" s="14"/>
      <c r="X15" s="13">
        <v>11</v>
      </c>
      <c r="Y15" s="11">
        <v>582810</v>
      </c>
      <c r="Z15" s="11">
        <v>600940</v>
      </c>
      <c r="AA15" s="13"/>
      <c r="AB15" s="13"/>
      <c r="AC15" s="14"/>
    </row>
    <row r="16" spans="2:35">
      <c r="C16" s="26">
        <v>12</v>
      </c>
      <c r="D16" s="11">
        <v>582651</v>
      </c>
      <c r="E16" s="11">
        <v>600939</v>
      </c>
      <c r="F16" s="13"/>
      <c r="G16" s="13"/>
      <c r="H16" s="14"/>
      <c r="J16" s="13">
        <v>12</v>
      </c>
      <c r="K16" s="11">
        <v>582719</v>
      </c>
      <c r="L16" s="11">
        <v>600952</v>
      </c>
      <c r="M16" s="13"/>
      <c r="N16" s="13"/>
      <c r="O16" s="14"/>
      <c r="Q16" s="13">
        <v>12</v>
      </c>
      <c r="R16" s="11">
        <v>582773</v>
      </c>
      <c r="S16" s="11">
        <v>600950</v>
      </c>
      <c r="T16" s="13"/>
      <c r="U16" s="13"/>
      <c r="V16" s="14"/>
      <c r="X16" s="13">
        <v>12</v>
      </c>
      <c r="Y16" s="11">
        <v>582803</v>
      </c>
      <c r="Z16" s="11">
        <v>600933</v>
      </c>
      <c r="AA16" s="13"/>
      <c r="AB16" s="13"/>
      <c r="AC16" s="14"/>
    </row>
    <row r="17" spans="3:29">
      <c r="C17" s="13">
        <v>13</v>
      </c>
      <c r="D17" s="11">
        <v>582649</v>
      </c>
      <c r="E17" s="11">
        <v>600921</v>
      </c>
      <c r="F17" s="13"/>
      <c r="G17" s="13"/>
      <c r="H17" s="14"/>
      <c r="J17" s="13">
        <v>13</v>
      </c>
      <c r="K17" s="11">
        <v>582706</v>
      </c>
      <c r="L17" s="11">
        <v>600925</v>
      </c>
      <c r="M17" s="13"/>
      <c r="N17" s="13"/>
      <c r="O17" s="14"/>
      <c r="Q17" s="13">
        <v>13</v>
      </c>
      <c r="R17" s="11">
        <v>582786</v>
      </c>
      <c r="S17" s="11">
        <v>600918</v>
      </c>
      <c r="T17" s="13"/>
      <c r="U17" s="13"/>
      <c r="V17" s="14"/>
      <c r="X17" s="13">
        <v>13</v>
      </c>
      <c r="Y17" s="11">
        <v>582841</v>
      </c>
      <c r="Z17" s="11">
        <v>600941</v>
      </c>
      <c r="AA17" s="13"/>
      <c r="AB17" s="13"/>
      <c r="AC17" s="14"/>
    </row>
    <row r="18" spans="3:29">
      <c r="C18" s="13">
        <v>14</v>
      </c>
      <c r="D18" s="11">
        <v>582652</v>
      </c>
      <c r="E18" s="11">
        <v>600918</v>
      </c>
      <c r="F18" s="13"/>
      <c r="G18" s="13"/>
      <c r="H18" s="14"/>
      <c r="J18" s="13">
        <v>14</v>
      </c>
      <c r="K18" s="11">
        <v>582736</v>
      </c>
      <c r="L18" s="11">
        <v>600936</v>
      </c>
      <c r="M18" s="13"/>
      <c r="N18" s="13"/>
      <c r="O18" s="14"/>
      <c r="Q18" s="13">
        <v>14</v>
      </c>
      <c r="R18" s="11">
        <v>582746</v>
      </c>
      <c r="S18" s="11">
        <v>600949</v>
      </c>
      <c r="T18" s="13"/>
      <c r="U18" s="13"/>
      <c r="V18" s="14"/>
      <c r="X18" s="13">
        <v>14</v>
      </c>
      <c r="Y18" s="11">
        <v>582808</v>
      </c>
      <c r="Z18" s="11">
        <v>600925</v>
      </c>
      <c r="AA18" s="13"/>
      <c r="AB18" s="13"/>
      <c r="AC18" s="14"/>
    </row>
    <row r="19" spans="3:29">
      <c r="C19" s="13">
        <v>15</v>
      </c>
      <c r="D19" s="11">
        <v>582656</v>
      </c>
      <c r="E19" s="11">
        <v>600919</v>
      </c>
      <c r="F19" s="13"/>
      <c r="G19" s="13"/>
      <c r="H19" s="14"/>
      <c r="J19" s="13">
        <v>15</v>
      </c>
      <c r="K19" s="11">
        <v>582736</v>
      </c>
      <c r="L19" s="11">
        <v>600941</v>
      </c>
      <c r="M19" s="13"/>
      <c r="N19" s="13"/>
      <c r="O19" s="14"/>
      <c r="Q19" s="13">
        <v>15</v>
      </c>
      <c r="R19" s="11">
        <v>582794</v>
      </c>
      <c r="S19" s="11">
        <v>600936</v>
      </c>
      <c r="T19" s="13"/>
      <c r="U19" s="13"/>
      <c r="V19" s="14"/>
      <c r="X19" s="13">
        <v>15</v>
      </c>
      <c r="Y19" s="11">
        <v>582822</v>
      </c>
      <c r="Z19" s="11">
        <v>600913</v>
      </c>
      <c r="AA19" s="13"/>
      <c r="AB19" s="13"/>
      <c r="AC19" s="14"/>
    </row>
    <row r="20" spans="3:29">
      <c r="C20" s="13">
        <v>16</v>
      </c>
      <c r="D20" s="11">
        <v>582684</v>
      </c>
      <c r="E20" s="11">
        <v>600925</v>
      </c>
      <c r="F20" s="13"/>
      <c r="G20" s="13"/>
      <c r="H20" s="14"/>
      <c r="J20" s="13">
        <v>16</v>
      </c>
      <c r="K20" s="11">
        <v>582695</v>
      </c>
      <c r="L20" s="11">
        <v>600940</v>
      </c>
      <c r="M20" s="13"/>
      <c r="N20" s="13"/>
      <c r="O20" s="14"/>
      <c r="Q20" s="13">
        <v>16</v>
      </c>
      <c r="R20" s="11">
        <v>582795</v>
      </c>
      <c r="S20" s="11">
        <v>600913</v>
      </c>
      <c r="T20" s="13"/>
      <c r="U20" s="13"/>
      <c r="V20" s="14"/>
      <c r="X20" s="13">
        <v>16</v>
      </c>
      <c r="Y20" s="11">
        <v>582840</v>
      </c>
      <c r="Z20" s="11">
        <v>600917</v>
      </c>
      <c r="AA20" s="13"/>
      <c r="AB20" s="13"/>
      <c r="AC20" s="14"/>
    </row>
    <row r="21" spans="3:29">
      <c r="C21" s="13">
        <v>17</v>
      </c>
      <c r="D21" s="11">
        <v>582679</v>
      </c>
      <c r="E21" s="11">
        <v>600927</v>
      </c>
      <c r="J21" s="13">
        <v>17</v>
      </c>
      <c r="K21" s="11">
        <v>582738</v>
      </c>
      <c r="L21" s="11">
        <v>600951</v>
      </c>
      <c r="Q21" s="13">
        <v>17</v>
      </c>
      <c r="R21" s="11">
        <v>582766</v>
      </c>
      <c r="S21" s="11">
        <v>600946</v>
      </c>
      <c r="X21" s="13">
        <v>17</v>
      </c>
      <c r="Y21" s="11">
        <v>582843</v>
      </c>
      <c r="Z21" s="11">
        <v>600934</v>
      </c>
    </row>
    <row r="22" spans="3:29">
      <c r="C22" s="13">
        <v>18</v>
      </c>
      <c r="D22" s="11">
        <v>582695</v>
      </c>
      <c r="E22" s="11">
        <v>600922</v>
      </c>
      <c r="J22" s="13">
        <v>18</v>
      </c>
      <c r="K22" s="11">
        <v>582695</v>
      </c>
      <c r="L22" s="11">
        <v>600938</v>
      </c>
      <c r="Q22" s="13">
        <v>18</v>
      </c>
      <c r="R22" s="11">
        <v>582774</v>
      </c>
      <c r="S22" s="11">
        <v>600921</v>
      </c>
      <c r="X22" s="13">
        <v>18</v>
      </c>
      <c r="Y22" s="11">
        <v>582805</v>
      </c>
      <c r="Z22" s="11">
        <v>600934</v>
      </c>
    </row>
    <row r="23" spans="3:29">
      <c r="C23" s="26">
        <v>19</v>
      </c>
      <c r="D23" s="11">
        <v>582677</v>
      </c>
      <c r="E23" s="11">
        <v>600953</v>
      </c>
      <c r="J23" s="13">
        <v>19</v>
      </c>
      <c r="K23" s="11">
        <v>582719</v>
      </c>
      <c r="L23" s="11">
        <v>600946</v>
      </c>
      <c r="Q23" s="13">
        <v>19</v>
      </c>
      <c r="R23" s="11">
        <v>582773</v>
      </c>
      <c r="S23" s="11">
        <v>600916</v>
      </c>
      <c r="X23" s="13">
        <v>19</v>
      </c>
      <c r="Y23" s="11">
        <v>582818</v>
      </c>
      <c r="Z23" s="11">
        <v>600928</v>
      </c>
    </row>
    <row r="24" spans="3:29">
      <c r="C24" s="13">
        <v>20</v>
      </c>
      <c r="D24" s="11">
        <v>582650</v>
      </c>
      <c r="E24" s="11">
        <v>600950</v>
      </c>
      <c r="J24" s="13">
        <v>20</v>
      </c>
      <c r="K24" s="11">
        <v>582712</v>
      </c>
      <c r="L24" s="11">
        <v>600922</v>
      </c>
      <c r="Q24" s="13">
        <v>20</v>
      </c>
      <c r="R24" s="11">
        <v>582773</v>
      </c>
      <c r="S24" s="11">
        <v>600926</v>
      </c>
      <c r="X24" s="13">
        <v>20</v>
      </c>
      <c r="Y24" s="11">
        <v>582796</v>
      </c>
      <c r="Z24" s="11">
        <v>600919</v>
      </c>
    </row>
    <row r="25" spans="3:29">
      <c r="C25" s="13">
        <v>21</v>
      </c>
      <c r="D25" s="11">
        <v>582645</v>
      </c>
      <c r="E25" s="11">
        <v>600951</v>
      </c>
      <c r="J25" s="13">
        <v>21</v>
      </c>
      <c r="K25" s="11">
        <v>582711</v>
      </c>
      <c r="L25" s="11">
        <v>600952</v>
      </c>
      <c r="Q25" s="13">
        <v>21</v>
      </c>
      <c r="R25" s="11">
        <v>582780</v>
      </c>
      <c r="S25" s="11">
        <v>600932</v>
      </c>
      <c r="X25" s="13">
        <v>21</v>
      </c>
      <c r="Y25" s="11">
        <v>582805</v>
      </c>
      <c r="Z25" s="11">
        <v>600922</v>
      </c>
    </row>
    <row r="26" spans="3:29">
      <c r="C26" s="13">
        <v>22</v>
      </c>
      <c r="D26" s="11">
        <v>582658</v>
      </c>
      <c r="E26" s="11">
        <v>600924</v>
      </c>
      <c r="J26" s="13">
        <v>22</v>
      </c>
      <c r="K26" s="11">
        <v>582696</v>
      </c>
      <c r="L26" s="11">
        <v>600919</v>
      </c>
      <c r="Q26" s="13">
        <v>22</v>
      </c>
      <c r="R26" s="11">
        <v>582796</v>
      </c>
      <c r="S26" s="11">
        <v>600943</v>
      </c>
      <c r="X26" s="13">
        <v>22</v>
      </c>
      <c r="Y26" s="11">
        <v>582833</v>
      </c>
      <c r="Z26" s="11">
        <v>600933</v>
      </c>
    </row>
    <row r="27" spans="3:29">
      <c r="C27" s="26">
        <v>23</v>
      </c>
      <c r="D27" s="11">
        <v>582693</v>
      </c>
      <c r="E27" s="11">
        <v>600940</v>
      </c>
      <c r="J27" s="13">
        <v>23</v>
      </c>
      <c r="K27" s="11">
        <v>582729</v>
      </c>
      <c r="L27" s="11">
        <v>600936</v>
      </c>
      <c r="Q27" s="13">
        <v>23</v>
      </c>
      <c r="R27" s="11">
        <v>582766</v>
      </c>
      <c r="S27" s="11">
        <v>600922</v>
      </c>
      <c r="X27" s="13">
        <v>23</v>
      </c>
      <c r="Y27" s="11">
        <v>582805</v>
      </c>
      <c r="Z27" s="11">
        <v>600926</v>
      </c>
    </row>
    <row r="28" spans="3:29">
      <c r="C28" s="13">
        <v>24</v>
      </c>
      <c r="D28" s="11">
        <v>582659</v>
      </c>
      <c r="E28" s="11">
        <v>600943</v>
      </c>
      <c r="J28" s="13">
        <v>24</v>
      </c>
      <c r="K28" s="11">
        <v>582698</v>
      </c>
      <c r="L28" s="11">
        <v>600936</v>
      </c>
      <c r="Q28" s="13">
        <v>24</v>
      </c>
      <c r="R28" s="11">
        <v>582760</v>
      </c>
      <c r="S28" s="11">
        <v>600930</v>
      </c>
      <c r="X28" s="13">
        <v>24</v>
      </c>
      <c r="Y28" s="11">
        <v>582822</v>
      </c>
      <c r="Z28" s="11">
        <v>600945</v>
      </c>
    </row>
    <row r="29" spans="3:29">
      <c r="C29" s="13">
        <v>25</v>
      </c>
      <c r="D29" s="11">
        <v>582662</v>
      </c>
      <c r="E29" s="11">
        <v>600935</v>
      </c>
      <c r="J29" s="13">
        <v>25</v>
      </c>
      <c r="K29" s="11">
        <v>582711</v>
      </c>
      <c r="L29" s="11">
        <v>600939</v>
      </c>
      <c r="Q29" s="13">
        <v>25</v>
      </c>
      <c r="R29" s="11">
        <v>582777</v>
      </c>
      <c r="S29" s="11">
        <v>600919</v>
      </c>
      <c r="X29" s="13">
        <v>25</v>
      </c>
      <c r="Y29" s="11">
        <v>582836</v>
      </c>
      <c r="Z29" s="11">
        <v>600920</v>
      </c>
    </row>
    <row r="30" spans="3:29">
      <c r="C30" s="13">
        <v>26</v>
      </c>
      <c r="D30" s="11">
        <v>582664</v>
      </c>
      <c r="E30" s="11">
        <v>600941</v>
      </c>
      <c r="J30" s="13">
        <v>26</v>
      </c>
      <c r="K30" s="11">
        <v>582739</v>
      </c>
      <c r="L30" s="11">
        <v>600946</v>
      </c>
      <c r="Q30" s="13">
        <v>26</v>
      </c>
      <c r="R30" s="11">
        <v>582776</v>
      </c>
      <c r="S30" s="11">
        <v>600945</v>
      </c>
      <c r="X30" s="13">
        <v>26</v>
      </c>
      <c r="Y30" s="11">
        <v>582845</v>
      </c>
      <c r="Z30" s="11">
        <v>600921</v>
      </c>
    </row>
    <row r="31" spans="3:29">
      <c r="C31" s="26">
        <v>27</v>
      </c>
      <c r="D31" s="11">
        <v>582658</v>
      </c>
      <c r="E31" s="11">
        <v>600935</v>
      </c>
      <c r="J31" s="13">
        <v>27</v>
      </c>
      <c r="K31" s="11">
        <v>582698</v>
      </c>
      <c r="L31" s="11">
        <v>600929</v>
      </c>
      <c r="Q31" s="13">
        <v>27</v>
      </c>
      <c r="R31" s="11">
        <v>582747</v>
      </c>
      <c r="S31" s="11">
        <v>600931</v>
      </c>
      <c r="X31" s="13">
        <v>27</v>
      </c>
      <c r="Y31" s="11">
        <v>582803</v>
      </c>
      <c r="Z31" s="11">
        <v>600917</v>
      </c>
    </row>
    <row r="32" spans="3:29">
      <c r="C32" s="13">
        <v>28</v>
      </c>
      <c r="D32" s="11">
        <v>582650</v>
      </c>
      <c r="E32" s="11">
        <v>600954</v>
      </c>
      <c r="J32" s="13">
        <v>28</v>
      </c>
      <c r="K32" s="11">
        <v>582730</v>
      </c>
      <c r="L32" s="11">
        <v>600917</v>
      </c>
      <c r="Q32" s="13">
        <v>28</v>
      </c>
      <c r="R32" s="11">
        <v>582783</v>
      </c>
      <c r="S32" s="11">
        <v>600924</v>
      </c>
      <c r="X32" s="13">
        <v>28</v>
      </c>
      <c r="Y32" s="11">
        <v>582827</v>
      </c>
      <c r="Z32" s="11">
        <v>600939</v>
      </c>
    </row>
    <row r="33" spans="3:26">
      <c r="C33" s="13">
        <v>29</v>
      </c>
      <c r="D33" s="11">
        <v>582652</v>
      </c>
      <c r="E33" s="11">
        <v>600931</v>
      </c>
      <c r="J33" s="13">
        <v>29</v>
      </c>
      <c r="K33" s="11">
        <v>582710</v>
      </c>
      <c r="L33" s="11">
        <v>600952</v>
      </c>
      <c r="Q33" s="13">
        <v>29</v>
      </c>
      <c r="R33" s="11">
        <v>582796</v>
      </c>
      <c r="S33" s="11">
        <v>600936</v>
      </c>
      <c r="X33" s="13">
        <v>29</v>
      </c>
      <c r="Y33" s="11">
        <v>582795</v>
      </c>
      <c r="Z33" s="11">
        <v>600928</v>
      </c>
    </row>
    <row r="34" spans="3:26">
      <c r="C34" s="13">
        <v>30</v>
      </c>
      <c r="D34" s="11">
        <v>582677</v>
      </c>
      <c r="E34" s="11">
        <v>600951</v>
      </c>
      <c r="J34" s="13">
        <v>30</v>
      </c>
      <c r="K34" s="11">
        <v>582704</v>
      </c>
      <c r="L34" s="11">
        <v>600939</v>
      </c>
      <c r="Q34" s="13">
        <v>30</v>
      </c>
      <c r="R34" s="11">
        <v>582781</v>
      </c>
      <c r="S34" s="11">
        <v>600917</v>
      </c>
      <c r="X34" s="13">
        <v>30</v>
      </c>
      <c r="Y34" s="11">
        <v>582826</v>
      </c>
      <c r="Z34" s="11">
        <v>600935</v>
      </c>
    </row>
    <row r="35" spans="3:26">
      <c r="C35" s="13">
        <v>31</v>
      </c>
      <c r="D35" s="11">
        <v>582678</v>
      </c>
      <c r="E35" s="11">
        <v>600926</v>
      </c>
      <c r="J35" s="13">
        <v>31</v>
      </c>
      <c r="K35" s="11">
        <v>582740</v>
      </c>
      <c r="L35" s="11">
        <v>600946</v>
      </c>
      <c r="Q35" s="13">
        <v>31</v>
      </c>
      <c r="R35" s="11">
        <v>582784</v>
      </c>
      <c r="S35" s="11">
        <v>600942</v>
      </c>
      <c r="X35" s="13">
        <v>31</v>
      </c>
      <c r="Y35" s="11">
        <v>582837</v>
      </c>
      <c r="Z35" s="11">
        <v>600931</v>
      </c>
    </row>
    <row r="36" spans="3:26">
      <c r="C36" s="13">
        <v>32</v>
      </c>
      <c r="D36" s="11">
        <v>582679</v>
      </c>
      <c r="E36" s="11">
        <v>600955</v>
      </c>
      <c r="J36" s="13">
        <v>32</v>
      </c>
      <c r="K36" s="11">
        <v>582735</v>
      </c>
      <c r="L36" s="11">
        <v>600916</v>
      </c>
      <c r="Q36" s="13">
        <v>32</v>
      </c>
      <c r="R36" s="11">
        <v>582756</v>
      </c>
      <c r="S36" s="11">
        <v>600944</v>
      </c>
      <c r="X36" s="13">
        <v>32</v>
      </c>
      <c r="Y36" s="11">
        <v>582807</v>
      </c>
      <c r="Z36" s="11">
        <v>600925</v>
      </c>
    </row>
    <row r="37" spans="3:26">
      <c r="C37" s="13">
        <v>33</v>
      </c>
      <c r="D37" s="11">
        <v>582659</v>
      </c>
      <c r="E37" s="11">
        <v>600920</v>
      </c>
      <c r="J37" s="13">
        <v>33</v>
      </c>
      <c r="K37" s="11">
        <v>582713</v>
      </c>
      <c r="L37" s="11">
        <v>600938</v>
      </c>
      <c r="Q37" s="13">
        <v>33</v>
      </c>
      <c r="R37" s="11">
        <v>582792</v>
      </c>
      <c r="S37" s="11">
        <v>600913</v>
      </c>
      <c r="X37" s="13">
        <v>33</v>
      </c>
      <c r="Y37" s="11">
        <v>582841</v>
      </c>
      <c r="Z37" s="11">
        <v>600929</v>
      </c>
    </row>
    <row r="38" spans="3:26">
      <c r="C38" s="26">
        <v>34</v>
      </c>
      <c r="D38" s="11">
        <v>582654</v>
      </c>
      <c r="E38" s="11">
        <v>600939</v>
      </c>
      <c r="J38" s="13">
        <v>34</v>
      </c>
      <c r="K38" s="11">
        <v>582725</v>
      </c>
      <c r="L38" s="11">
        <v>600918</v>
      </c>
      <c r="Q38" s="13">
        <v>34</v>
      </c>
      <c r="R38" s="11">
        <v>582783</v>
      </c>
      <c r="S38" s="11">
        <v>600931</v>
      </c>
      <c r="X38" s="13">
        <v>34</v>
      </c>
      <c r="Y38" s="11">
        <v>582814</v>
      </c>
      <c r="Z38" s="11">
        <v>600926</v>
      </c>
    </row>
    <row r="39" spans="3:26">
      <c r="C39" s="13">
        <v>35</v>
      </c>
      <c r="D39" s="11">
        <v>582685</v>
      </c>
      <c r="E39" s="11">
        <v>600938</v>
      </c>
      <c r="J39" s="13">
        <v>35</v>
      </c>
      <c r="K39" s="11">
        <v>582727</v>
      </c>
      <c r="L39" s="11">
        <v>600937</v>
      </c>
      <c r="Q39" s="13">
        <v>35</v>
      </c>
      <c r="R39" s="11">
        <v>582772</v>
      </c>
      <c r="S39" s="11">
        <v>600930</v>
      </c>
      <c r="X39" s="13">
        <v>35</v>
      </c>
      <c r="Y39" s="11">
        <v>582825</v>
      </c>
      <c r="Z39" s="11">
        <v>600933</v>
      </c>
    </row>
    <row r="40" spans="3:26">
      <c r="C40" s="13">
        <v>36</v>
      </c>
      <c r="D40" s="11">
        <v>582658</v>
      </c>
      <c r="E40" s="11">
        <v>600932</v>
      </c>
      <c r="J40" s="13">
        <v>36</v>
      </c>
      <c r="K40" s="11">
        <v>582731</v>
      </c>
      <c r="L40" s="11">
        <v>600924</v>
      </c>
      <c r="Q40" s="13">
        <v>36</v>
      </c>
      <c r="R40" s="11">
        <v>582761</v>
      </c>
      <c r="S40" s="11">
        <v>600922</v>
      </c>
      <c r="X40" s="13">
        <v>36</v>
      </c>
      <c r="Y40" s="11">
        <v>582839</v>
      </c>
      <c r="Z40" s="11">
        <v>600944</v>
      </c>
    </row>
    <row r="41" spans="3:26">
      <c r="C41" s="13">
        <v>37</v>
      </c>
      <c r="D41" s="11">
        <v>582661</v>
      </c>
      <c r="E41" s="11">
        <v>600936</v>
      </c>
      <c r="J41" s="13">
        <v>37</v>
      </c>
      <c r="K41" s="11">
        <v>582727</v>
      </c>
      <c r="L41" s="11">
        <v>600935</v>
      </c>
      <c r="Q41" s="13">
        <v>37</v>
      </c>
      <c r="R41" s="11">
        <v>582755</v>
      </c>
      <c r="S41" s="11">
        <v>600951</v>
      </c>
      <c r="X41" s="13">
        <v>37</v>
      </c>
      <c r="Y41" s="11">
        <v>582841</v>
      </c>
      <c r="Z41" s="11">
        <v>600939</v>
      </c>
    </row>
    <row r="42" spans="3:26">
      <c r="C42" s="26">
        <v>38</v>
      </c>
      <c r="D42" s="11">
        <v>582692</v>
      </c>
      <c r="E42" s="11">
        <v>600923</v>
      </c>
      <c r="J42" s="13">
        <v>38</v>
      </c>
      <c r="K42" s="11">
        <v>582727</v>
      </c>
      <c r="L42" s="11">
        <v>600933</v>
      </c>
      <c r="Q42" s="13">
        <v>38</v>
      </c>
      <c r="R42" s="11">
        <v>582747</v>
      </c>
      <c r="S42" s="11">
        <v>600925</v>
      </c>
      <c r="X42" s="13">
        <v>38</v>
      </c>
      <c r="Y42" s="11">
        <v>582801</v>
      </c>
      <c r="Z42" s="11">
        <v>600923</v>
      </c>
    </row>
    <row r="43" spans="3:26">
      <c r="C43" s="13">
        <v>39</v>
      </c>
      <c r="D43" s="11">
        <v>582674</v>
      </c>
      <c r="E43" s="11">
        <v>600950</v>
      </c>
      <c r="J43" s="13">
        <v>39</v>
      </c>
      <c r="K43" s="11">
        <v>582732</v>
      </c>
      <c r="L43" s="11">
        <v>600932</v>
      </c>
      <c r="Q43" s="13">
        <v>39</v>
      </c>
      <c r="R43" s="11">
        <v>582771</v>
      </c>
      <c r="S43" s="11">
        <v>600915</v>
      </c>
      <c r="X43" s="13">
        <v>39</v>
      </c>
      <c r="Y43" s="11">
        <v>582836</v>
      </c>
      <c r="Z43" s="11">
        <v>600938</v>
      </c>
    </row>
    <row r="44" spans="3:26">
      <c r="C44" s="13">
        <v>40</v>
      </c>
      <c r="D44" s="11">
        <v>582654</v>
      </c>
      <c r="E44" s="11">
        <v>600919</v>
      </c>
      <c r="J44" s="13">
        <v>40</v>
      </c>
      <c r="K44" s="11">
        <v>582710</v>
      </c>
      <c r="L44" s="11">
        <v>600945</v>
      </c>
      <c r="Q44" s="13">
        <v>40</v>
      </c>
      <c r="R44" s="11">
        <v>582781</v>
      </c>
      <c r="S44" s="11">
        <v>600931</v>
      </c>
      <c r="X44" s="13">
        <v>40</v>
      </c>
      <c r="Y44" s="11">
        <v>582824</v>
      </c>
      <c r="Z44" s="11">
        <v>600919</v>
      </c>
    </row>
    <row r="45" spans="3:26">
      <c r="C45" s="13">
        <v>41</v>
      </c>
      <c r="D45" s="11">
        <v>582650</v>
      </c>
      <c r="E45" s="11">
        <v>600943</v>
      </c>
      <c r="J45" s="13">
        <v>41</v>
      </c>
      <c r="K45" s="11">
        <v>582728</v>
      </c>
      <c r="L45" s="11">
        <v>600921</v>
      </c>
      <c r="Q45" s="13">
        <v>41</v>
      </c>
      <c r="R45" s="11">
        <v>582767</v>
      </c>
      <c r="S45" s="11">
        <v>600939</v>
      </c>
      <c r="X45" s="13">
        <v>41</v>
      </c>
      <c r="Y45" s="11">
        <v>582813</v>
      </c>
      <c r="Z45" s="11">
        <v>600923</v>
      </c>
    </row>
    <row r="46" spans="3:26">
      <c r="C46" s="26">
        <v>42</v>
      </c>
      <c r="D46" s="11">
        <v>582653</v>
      </c>
      <c r="E46" s="11">
        <v>600932</v>
      </c>
      <c r="J46" s="13">
        <v>42</v>
      </c>
      <c r="K46" s="11">
        <v>582724</v>
      </c>
      <c r="L46" s="11">
        <v>600919</v>
      </c>
      <c r="Q46" s="13">
        <v>42</v>
      </c>
      <c r="R46" s="11">
        <v>582745</v>
      </c>
      <c r="S46" s="11">
        <v>600912</v>
      </c>
      <c r="X46" s="13">
        <v>42</v>
      </c>
      <c r="Y46" s="11">
        <v>582831</v>
      </c>
      <c r="Z46" s="11">
        <v>600925</v>
      </c>
    </row>
    <row r="47" spans="3:26">
      <c r="C47" s="13">
        <v>43</v>
      </c>
      <c r="D47" s="11">
        <v>582654</v>
      </c>
      <c r="E47" s="11">
        <v>600934</v>
      </c>
      <c r="J47" s="13">
        <v>43</v>
      </c>
      <c r="K47" s="11">
        <v>582738</v>
      </c>
      <c r="L47" s="11">
        <v>600919</v>
      </c>
      <c r="Q47" s="13">
        <v>43</v>
      </c>
      <c r="R47" s="11">
        <v>582784</v>
      </c>
      <c r="S47" s="11">
        <v>600933</v>
      </c>
      <c r="X47" s="13">
        <v>43</v>
      </c>
      <c r="Y47" s="11">
        <v>582838</v>
      </c>
      <c r="Z47" s="11">
        <v>600929</v>
      </c>
    </row>
    <row r="48" spans="3:26">
      <c r="C48" s="13">
        <v>44</v>
      </c>
      <c r="D48" s="11">
        <v>582652</v>
      </c>
      <c r="E48" s="11">
        <v>600921</v>
      </c>
      <c r="J48" s="13">
        <v>44</v>
      </c>
      <c r="K48" s="11">
        <v>582740</v>
      </c>
      <c r="L48" s="11">
        <v>600951</v>
      </c>
      <c r="Q48" s="13">
        <v>44</v>
      </c>
      <c r="R48" s="11">
        <v>582794</v>
      </c>
      <c r="S48" s="11">
        <v>600920</v>
      </c>
      <c r="X48" s="13">
        <v>44</v>
      </c>
      <c r="Y48" s="11">
        <v>582818</v>
      </c>
      <c r="Z48" s="11">
        <v>600944</v>
      </c>
    </row>
    <row r="49" spans="3:26">
      <c r="C49" s="13">
        <v>45</v>
      </c>
      <c r="D49" s="11">
        <v>582677</v>
      </c>
      <c r="E49" s="11">
        <v>600941</v>
      </c>
      <c r="J49" s="13">
        <v>45</v>
      </c>
      <c r="K49" s="11">
        <v>582741</v>
      </c>
      <c r="L49" s="11">
        <v>600918</v>
      </c>
      <c r="Q49" s="13">
        <v>45</v>
      </c>
      <c r="R49" s="11">
        <v>582773</v>
      </c>
      <c r="S49" s="11">
        <v>600921</v>
      </c>
      <c r="X49" s="13">
        <v>45</v>
      </c>
      <c r="Y49" s="11">
        <v>582828</v>
      </c>
      <c r="Z49" s="11">
        <v>600946</v>
      </c>
    </row>
    <row r="50" spans="3:26">
      <c r="C50" s="13">
        <v>46</v>
      </c>
      <c r="D50" s="11">
        <v>582681</v>
      </c>
      <c r="E50" s="11">
        <v>600932</v>
      </c>
      <c r="J50" s="13">
        <v>46</v>
      </c>
      <c r="K50" s="11">
        <v>582715</v>
      </c>
      <c r="L50" s="11">
        <v>600927</v>
      </c>
      <c r="Q50" s="13">
        <v>46</v>
      </c>
      <c r="R50" s="11">
        <v>582756</v>
      </c>
      <c r="S50" s="11">
        <v>600932</v>
      </c>
      <c r="X50" s="13">
        <v>46</v>
      </c>
      <c r="Y50" s="11">
        <v>582837</v>
      </c>
      <c r="Z50" s="11">
        <v>600915</v>
      </c>
    </row>
    <row r="51" spans="3:26">
      <c r="C51" s="13">
        <v>47</v>
      </c>
      <c r="D51" s="11">
        <v>582675</v>
      </c>
      <c r="E51" s="11">
        <v>600949</v>
      </c>
      <c r="J51" s="13">
        <v>47</v>
      </c>
      <c r="K51" s="11">
        <v>582726</v>
      </c>
      <c r="L51" s="11">
        <v>600925</v>
      </c>
      <c r="Q51" s="13">
        <v>47</v>
      </c>
      <c r="R51" s="11">
        <v>582754</v>
      </c>
      <c r="S51" s="11">
        <v>600919</v>
      </c>
      <c r="X51" s="13">
        <v>47</v>
      </c>
      <c r="Y51" s="11">
        <v>582828</v>
      </c>
      <c r="Z51" s="11">
        <v>600940</v>
      </c>
    </row>
    <row r="52" spans="3:26">
      <c r="C52" s="13">
        <v>48</v>
      </c>
      <c r="D52" s="11">
        <v>582665</v>
      </c>
      <c r="E52" s="11">
        <v>600923</v>
      </c>
      <c r="J52" s="13">
        <v>48</v>
      </c>
      <c r="K52" s="11">
        <v>582720</v>
      </c>
      <c r="L52" s="11">
        <v>600918</v>
      </c>
      <c r="Q52" s="13">
        <v>48</v>
      </c>
      <c r="R52" s="11">
        <v>582793</v>
      </c>
      <c r="S52" s="11">
        <v>600921</v>
      </c>
      <c r="X52" s="13">
        <v>48</v>
      </c>
      <c r="Y52" s="11">
        <v>582802</v>
      </c>
      <c r="Z52" s="11">
        <v>600915</v>
      </c>
    </row>
    <row r="53" spans="3:26">
      <c r="C53" s="26">
        <v>49</v>
      </c>
      <c r="D53" s="11">
        <v>582695</v>
      </c>
      <c r="E53" s="11">
        <v>600920</v>
      </c>
      <c r="J53" s="13">
        <v>49</v>
      </c>
      <c r="K53" s="11">
        <v>582706</v>
      </c>
      <c r="L53" s="11">
        <v>600946</v>
      </c>
      <c r="Q53" s="13">
        <v>49</v>
      </c>
      <c r="R53" s="11">
        <v>582770</v>
      </c>
      <c r="S53" s="11">
        <v>600941</v>
      </c>
      <c r="X53" s="13">
        <v>49</v>
      </c>
      <c r="Y53" s="11">
        <v>582797</v>
      </c>
      <c r="Z53" s="11">
        <v>600915</v>
      </c>
    </row>
    <row r="54" spans="3:26">
      <c r="C54" s="13">
        <v>50</v>
      </c>
      <c r="D54" s="11">
        <v>582649</v>
      </c>
      <c r="E54" s="11">
        <v>600925</v>
      </c>
      <c r="J54" s="13">
        <v>50</v>
      </c>
      <c r="K54" s="11">
        <v>582704</v>
      </c>
      <c r="L54" s="11">
        <v>600931</v>
      </c>
      <c r="Q54" s="13">
        <v>50</v>
      </c>
      <c r="R54" s="11">
        <v>582745</v>
      </c>
      <c r="S54" s="11">
        <v>600920</v>
      </c>
      <c r="X54" s="13">
        <v>50</v>
      </c>
      <c r="Y54" s="11">
        <v>582804</v>
      </c>
      <c r="Z54" s="11">
        <v>600943</v>
      </c>
    </row>
    <row r="55" spans="3:26">
      <c r="C55" s="13">
        <v>51</v>
      </c>
      <c r="D55" s="11">
        <v>582657</v>
      </c>
      <c r="E55" s="11">
        <v>600932</v>
      </c>
      <c r="J55" s="13">
        <v>51</v>
      </c>
      <c r="K55" s="11">
        <v>582739</v>
      </c>
      <c r="L55" s="11">
        <v>600936</v>
      </c>
      <c r="Q55" s="13">
        <v>51</v>
      </c>
      <c r="R55" s="11">
        <v>582760</v>
      </c>
      <c r="S55" s="11">
        <v>600947</v>
      </c>
      <c r="X55" s="13">
        <v>51</v>
      </c>
      <c r="Y55" s="11">
        <v>582822</v>
      </c>
      <c r="Z55" s="11">
        <v>600924</v>
      </c>
    </row>
    <row r="56" spans="3:26">
      <c r="C56" s="13">
        <v>52</v>
      </c>
      <c r="D56" s="11">
        <v>582658</v>
      </c>
      <c r="E56" s="11">
        <v>600943</v>
      </c>
      <c r="J56" s="13">
        <v>52</v>
      </c>
      <c r="K56" s="11">
        <v>582719</v>
      </c>
      <c r="L56" s="11">
        <v>600951</v>
      </c>
      <c r="Q56" s="13">
        <v>52</v>
      </c>
      <c r="R56" s="11">
        <v>582787</v>
      </c>
      <c r="S56" s="11">
        <v>600919</v>
      </c>
      <c r="X56" s="13">
        <v>52</v>
      </c>
      <c r="Y56" s="11">
        <v>582837</v>
      </c>
      <c r="Z56" s="11">
        <v>600923</v>
      </c>
    </row>
    <row r="57" spans="3:26">
      <c r="C57" s="26">
        <v>53</v>
      </c>
      <c r="D57" s="11">
        <v>582681</v>
      </c>
      <c r="E57" s="11">
        <v>600953</v>
      </c>
      <c r="J57" s="13">
        <v>53</v>
      </c>
      <c r="K57" s="11">
        <v>582713</v>
      </c>
      <c r="L57" s="11">
        <v>600934</v>
      </c>
      <c r="Q57" s="13">
        <v>53</v>
      </c>
      <c r="R57" s="11">
        <v>582758</v>
      </c>
      <c r="S57" s="11">
        <v>600938</v>
      </c>
      <c r="X57" s="13">
        <v>53</v>
      </c>
      <c r="Y57" s="11">
        <v>582806</v>
      </c>
      <c r="Z57" s="11">
        <v>600930</v>
      </c>
    </row>
    <row r="58" spans="3:26">
      <c r="C58" s="13">
        <v>54</v>
      </c>
      <c r="D58" s="11">
        <v>582692</v>
      </c>
      <c r="E58" s="11">
        <v>600934</v>
      </c>
      <c r="J58" s="13">
        <v>54</v>
      </c>
      <c r="K58" s="11">
        <v>582745</v>
      </c>
      <c r="L58" s="11">
        <v>600926</v>
      </c>
      <c r="Q58" s="13">
        <v>54</v>
      </c>
      <c r="R58" s="11">
        <v>582761</v>
      </c>
      <c r="S58" s="11">
        <v>600943</v>
      </c>
      <c r="X58" s="13">
        <v>54</v>
      </c>
      <c r="Y58" s="11">
        <v>582830</v>
      </c>
      <c r="Z58" s="11">
        <v>600936</v>
      </c>
    </row>
    <row r="59" spans="3:26">
      <c r="C59" s="13">
        <v>55</v>
      </c>
      <c r="D59" s="11">
        <v>582655</v>
      </c>
      <c r="E59" s="11">
        <v>600923</v>
      </c>
      <c r="J59" s="13">
        <v>55</v>
      </c>
      <c r="K59" s="11">
        <v>582724</v>
      </c>
      <c r="L59" s="11">
        <v>600921</v>
      </c>
      <c r="Q59" s="13">
        <v>55</v>
      </c>
      <c r="R59" s="11">
        <v>582786</v>
      </c>
      <c r="S59" s="11">
        <v>600948</v>
      </c>
      <c r="X59" s="13">
        <v>55</v>
      </c>
      <c r="Y59" s="11">
        <v>582822</v>
      </c>
      <c r="Z59" s="11">
        <v>600941</v>
      </c>
    </row>
    <row r="60" spans="3:26">
      <c r="C60" s="13">
        <v>56</v>
      </c>
      <c r="D60" s="11">
        <v>582663</v>
      </c>
      <c r="E60" s="11">
        <v>600943</v>
      </c>
      <c r="J60" s="13">
        <v>56</v>
      </c>
      <c r="K60" s="11">
        <v>582698</v>
      </c>
      <c r="L60" s="11">
        <v>600915</v>
      </c>
      <c r="Q60" s="13">
        <v>56</v>
      </c>
      <c r="R60" s="11">
        <v>582751</v>
      </c>
      <c r="S60" s="11">
        <v>600940</v>
      </c>
      <c r="X60" s="13">
        <v>56</v>
      </c>
      <c r="Y60" s="11">
        <v>582819</v>
      </c>
      <c r="Z60" s="11">
        <v>600913</v>
      </c>
    </row>
    <row r="61" spans="3:26">
      <c r="C61" s="26">
        <v>57</v>
      </c>
      <c r="D61" s="11">
        <v>582695</v>
      </c>
      <c r="E61" s="11">
        <v>600946</v>
      </c>
      <c r="J61" s="13">
        <v>57</v>
      </c>
      <c r="K61" s="11">
        <v>582711</v>
      </c>
      <c r="L61" s="11">
        <v>600922</v>
      </c>
      <c r="Q61" s="13">
        <v>57</v>
      </c>
      <c r="R61" s="11">
        <v>582784</v>
      </c>
      <c r="S61" s="11">
        <v>600927</v>
      </c>
      <c r="X61" s="13">
        <v>57</v>
      </c>
      <c r="Y61" s="11">
        <v>582818</v>
      </c>
      <c r="Z61" s="11">
        <v>600924</v>
      </c>
    </row>
    <row r="62" spans="3:26">
      <c r="C62" s="13">
        <v>58</v>
      </c>
      <c r="D62" s="11">
        <v>582676</v>
      </c>
      <c r="E62" s="11">
        <v>600917</v>
      </c>
      <c r="J62" s="13">
        <v>58</v>
      </c>
      <c r="K62" s="11">
        <v>582706</v>
      </c>
      <c r="L62" s="11">
        <v>600935</v>
      </c>
      <c r="Q62" s="13">
        <v>58</v>
      </c>
      <c r="R62" s="11">
        <v>582752</v>
      </c>
      <c r="S62" s="11">
        <v>600925</v>
      </c>
      <c r="X62" s="13">
        <v>58</v>
      </c>
      <c r="Y62" s="11">
        <v>582802</v>
      </c>
      <c r="Z62" s="11">
        <v>600932</v>
      </c>
    </row>
    <row r="63" spans="3:26">
      <c r="C63" s="13">
        <v>59</v>
      </c>
      <c r="D63" s="11">
        <v>582689</v>
      </c>
      <c r="E63" s="11">
        <v>600933</v>
      </c>
      <c r="J63" s="13">
        <v>59</v>
      </c>
      <c r="K63" s="11">
        <v>582697</v>
      </c>
      <c r="L63" s="11">
        <v>600951</v>
      </c>
      <c r="Q63" s="13">
        <v>59</v>
      </c>
      <c r="R63" s="11">
        <v>582788</v>
      </c>
      <c r="S63" s="11">
        <v>600913</v>
      </c>
      <c r="X63" s="13">
        <v>59</v>
      </c>
      <c r="Y63" s="11">
        <v>582805</v>
      </c>
      <c r="Z63" s="11">
        <v>600935</v>
      </c>
    </row>
    <row r="64" spans="3:26">
      <c r="C64" s="13">
        <v>60</v>
      </c>
      <c r="D64" s="11">
        <v>582689</v>
      </c>
      <c r="E64" s="11">
        <v>600923</v>
      </c>
      <c r="J64" s="13">
        <v>60</v>
      </c>
      <c r="K64" s="11">
        <v>582746</v>
      </c>
      <c r="L64" s="11">
        <v>600922</v>
      </c>
      <c r="Q64" s="13">
        <v>60</v>
      </c>
      <c r="R64" s="11">
        <v>582789</v>
      </c>
      <c r="S64" s="11">
        <v>600919</v>
      </c>
      <c r="X64" s="13">
        <v>60</v>
      </c>
      <c r="Y64" s="11">
        <v>582813</v>
      </c>
      <c r="Z64" s="11">
        <v>600919</v>
      </c>
    </row>
    <row r="65" spans="3:26">
      <c r="C65" s="13">
        <v>61</v>
      </c>
      <c r="D65" s="11">
        <v>582677</v>
      </c>
      <c r="E65" s="11">
        <v>600934</v>
      </c>
      <c r="J65" s="13">
        <v>61</v>
      </c>
      <c r="K65" s="11">
        <v>582701</v>
      </c>
      <c r="L65" s="11">
        <v>600924</v>
      </c>
      <c r="Q65" s="13">
        <v>61</v>
      </c>
      <c r="R65" s="11">
        <v>582747</v>
      </c>
      <c r="S65" s="11">
        <v>600918</v>
      </c>
      <c r="X65" s="13">
        <v>61</v>
      </c>
      <c r="Y65" s="11">
        <v>582835</v>
      </c>
      <c r="Z65" s="11">
        <v>600947</v>
      </c>
    </row>
    <row r="66" spans="3:26">
      <c r="C66" s="13">
        <v>62</v>
      </c>
      <c r="D66" s="11">
        <v>582655</v>
      </c>
      <c r="E66" s="11">
        <v>600951</v>
      </c>
      <c r="J66" s="13">
        <v>62</v>
      </c>
      <c r="K66" s="11">
        <v>582738</v>
      </c>
      <c r="L66" s="11">
        <v>600933</v>
      </c>
      <c r="Q66" s="13">
        <v>62</v>
      </c>
      <c r="R66" s="11">
        <v>582796</v>
      </c>
      <c r="S66" s="11">
        <v>600920</v>
      </c>
      <c r="X66" s="13">
        <v>62</v>
      </c>
      <c r="Y66" s="11">
        <v>582810</v>
      </c>
      <c r="Z66" s="11">
        <v>600910</v>
      </c>
    </row>
    <row r="67" spans="3:26">
      <c r="C67" s="13">
        <v>63</v>
      </c>
      <c r="D67" s="11">
        <v>582646</v>
      </c>
      <c r="E67" s="11">
        <v>600951</v>
      </c>
      <c r="J67" s="13">
        <v>63</v>
      </c>
      <c r="K67" s="11">
        <v>582705</v>
      </c>
      <c r="L67" s="11">
        <v>600943</v>
      </c>
      <c r="Q67" s="13">
        <v>63</v>
      </c>
      <c r="R67" s="11">
        <v>582766</v>
      </c>
      <c r="S67" s="11">
        <v>600944</v>
      </c>
      <c r="X67" s="13">
        <v>63</v>
      </c>
      <c r="Y67" s="11">
        <v>582823</v>
      </c>
      <c r="Z67" s="11">
        <v>600916</v>
      </c>
    </row>
    <row r="68" spans="3:26">
      <c r="C68" s="26">
        <v>64</v>
      </c>
      <c r="D68" s="11">
        <v>582665</v>
      </c>
      <c r="E68" s="11">
        <v>600952</v>
      </c>
      <c r="J68" s="13">
        <v>64</v>
      </c>
      <c r="K68" s="11">
        <v>582695</v>
      </c>
      <c r="L68" s="11">
        <v>600925</v>
      </c>
      <c r="Q68" s="13">
        <v>64</v>
      </c>
      <c r="R68" s="11">
        <v>582790</v>
      </c>
      <c r="S68" s="11">
        <v>600948</v>
      </c>
      <c r="X68" s="13">
        <v>64</v>
      </c>
      <c r="Y68" s="11">
        <v>582810</v>
      </c>
      <c r="Z68" s="11">
        <v>600933</v>
      </c>
    </row>
    <row r="69" spans="3:26">
      <c r="C69" s="13">
        <v>65</v>
      </c>
      <c r="D69" s="11">
        <v>582674</v>
      </c>
      <c r="E69" s="11">
        <v>600930</v>
      </c>
      <c r="J69" s="13">
        <v>65</v>
      </c>
      <c r="K69" s="11">
        <v>582703</v>
      </c>
      <c r="L69" s="11">
        <v>600943</v>
      </c>
      <c r="Q69" s="13">
        <v>65</v>
      </c>
      <c r="R69" s="11">
        <v>582748</v>
      </c>
      <c r="S69" s="11">
        <v>600922</v>
      </c>
      <c r="X69" s="13">
        <v>65</v>
      </c>
      <c r="Y69" s="11">
        <v>582845</v>
      </c>
      <c r="Z69" s="11">
        <v>600916</v>
      </c>
    </row>
    <row r="70" spans="3:26">
      <c r="C70" s="13">
        <v>66</v>
      </c>
      <c r="D70" s="11">
        <v>582695</v>
      </c>
      <c r="E70" s="11">
        <v>600938</v>
      </c>
      <c r="J70" s="13">
        <v>66</v>
      </c>
      <c r="K70" s="11">
        <v>582725</v>
      </c>
      <c r="L70" s="11">
        <v>600921</v>
      </c>
      <c r="Q70" s="13">
        <v>66</v>
      </c>
      <c r="R70" s="11">
        <v>582775</v>
      </c>
      <c r="S70" s="11">
        <v>600929</v>
      </c>
      <c r="X70" s="13">
        <v>66</v>
      </c>
      <c r="Y70" s="11">
        <v>582836</v>
      </c>
      <c r="Z70" s="11">
        <v>600929</v>
      </c>
    </row>
    <row r="71" spans="3:26">
      <c r="C71" s="13">
        <v>67</v>
      </c>
      <c r="D71" s="11">
        <v>582652</v>
      </c>
      <c r="E71" s="11">
        <v>600924</v>
      </c>
      <c r="J71" s="13">
        <v>67</v>
      </c>
      <c r="K71" s="11">
        <v>582737</v>
      </c>
      <c r="L71" s="11">
        <v>600934</v>
      </c>
      <c r="Q71" s="13">
        <v>67</v>
      </c>
      <c r="R71" s="11">
        <v>582766</v>
      </c>
      <c r="S71" s="11">
        <v>600945</v>
      </c>
      <c r="X71" s="13">
        <v>67</v>
      </c>
      <c r="Y71" s="11">
        <v>582796</v>
      </c>
      <c r="Z71" s="11">
        <v>600911</v>
      </c>
    </row>
    <row r="72" spans="3:26">
      <c r="C72" s="26">
        <v>68</v>
      </c>
      <c r="D72" s="11">
        <v>582651</v>
      </c>
      <c r="E72" s="11">
        <v>600949</v>
      </c>
      <c r="J72" s="13">
        <v>68</v>
      </c>
      <c r="K72" s="11">
        <v>582740</v>
      </c>
      <c r="L72" s="11">
        <v>600945</v>
      </c>
      <c r="Q72" s="13">
        <v>68</v>
      </c>
      <c r="R72" s="11">
        <v>582745</v>
      </c>
      <c r="S72" s="11">
        <v>600919</v>
      </c>
      <c r="X72" s="13">
        <v>68</v>
      </c>
      <c r="Y72" s="11">
        <v>582839</v>
      </c>
      <c r="Z72" s="11">
        <v>600926</v>
      </c>
    </row>
    <row r="73" spans="3:26">
      <c r="C73" s="13">
        <v>69</v>
      </c>
      <c r="D73" s="11">
        <v>582680</v>
      </c>
      <c r="E73" s="11">
        <v>600930</v>
      </c>
      <c r="F73" t="s">
        <v>51</v>
      </c>
      <c r="J73" s="13">
        <v>69</v>
      </c>
      <c r="K73" s="11">
        <v>582730</v>
      </c>
      <c r="L73" s="11">
        <v>600944</v>
      </c>
      <c r="Q73" s="13">
        <v>69</v>
      </c>
      <c r="R73" s="11">
        <v>582772</v>
      </c>
      <c r="S73" s="11">
        <v>600919</v>
      </c>
      <c r="X73" s="13">
        <v>69</v>
      </c>
      <c r="Y73" s="11">
        <v>582801</v>
      </c>
      <c r="Z73" s="11">
        <v>600938</v>
      </c>
    </row>
    <row r="74" spans="3:26">
      <c r="C74" s="13">
        <v>70</v>
      </c>
      <c r="D74" s="11">
        <v>582646</v>
      </c>
      <c r="E74" s="11">
        <v>600934</v>
      </c>
      <c r="J74" s="13">
        <v>70</v>
      </c>
      <c r="K74" s="11">
        <v>582711</v>
      </c>
      <c r="L74" s="11">
        <v>600947</v>
      </c>
      <c r="Q74" s="13">
        <v>70</v>
      </c>
      <c r="R74" s="11">
        <v>582753</v>
      </c>
      <c r="S74" s="11">
        <v>600946</v>
      </c>
      <c r="X74" s="13">
        <v>70</v>
      </c>
      <c r="Y74" s="11">
        <v>582826</v>
      </c>
      <c r="Z74" s="11">
        <v>600934</v>
      </c>
    </row>
    <row r="75" spans="3:26">
      <c r="C75" s="13">
        <v>71</v>
      </c>
      <c r="D75" s="11">
        <v>582674</v>
      </c>
      <c r="E75" s="11">
        <v>600957</v>
      </c>
      <c r="J75" s="13">
        <v>71</v>
      </c>
      <c r="K75" s="11">
        <v>582745</v>
      </c>
      <c r="L75" s="11">
        <v>600932</v>
      </c>
      <c r="Q75" s="13">
        <v>71</v>
      </c>
      <c r="R75" s="11">
        <v>582763</v>
      </c>
      <c r="S75" s="11">
        <v>600936</v>
      </c>
      <c r="X75" s="13">
        <v>71</v>
      </c>
      <c r="Y75" s="11">
        <v>582831</v>
      </c>
      <c r="Z75" s="11">
        <v>600927</v>
      </c>
    </row>
    <row r="76" spans="3:26">
      <c r="C76" s="26">
        <v>72</v>
      </c>
      <c r="D76" s="11">
        <v>582692</v>
      </c>
      <c r="E76" s="11">
        <v>600925</v>
      </c>
      <c r="J76" s="13">
        <v>72</v>
      </c>
      <c r="K76" s="11">
        <v>582727</v>
      </c>
      <c r="L76" s="11">
        <v>600928</v>
      </c>
      <c r="Q76" s="13">
        <v>72</v>
      </c>
      <c r="R76" s="11">
        <v>582770</v>
      </c>
      <c r="S76" s="11">
        <v>600917</v>
      </c>
      <c r="X76" s="13">
        <v>72</v>
      </c>
      <c r="Y76" s="11">
        <v>582842</v>
      </c>
      <c r="Z76" s="11">
        <v>600941</v>
      </c>
    </row>
    <row r="77" spans="3:26">
      <c r="C77" s="13">
        <v>73</v>
      </c>
      <c r="D77" s="11">
        <v>582693</v>
      </c>
      <c r="E77" s="11">
        <v>600945</v>
      </c>
      <c r="J77" s="13">
        <v>73</v>
      </c>
      <c r="K77" s="11">
        <v>582734</v>
      </c>
      <c r="L77" s="11">
        <v>600917</v>
      </c>
      <c r="Q77" s="13">
        <v>73</v>
      </c>
      <c r="R77" s="11">
        <v>582751</v>
      </c>
      <c r="S77" s="11">
        <v>600938</v>
      </c>
      <c r="X77" s="13">
        <v>73</v>
      </c>
      <c r="Y77" s="11">
        <v>582836</v>
      </c>
      <c r="Z77" s="11">
        <v>600912</v>
      </c>
    </row>
    <row r="78" spans="3:26">
      <c r="C78" s="13">
        <v>74</v>
      </c>
      <c r="D78" s="11">
        <v>582674</v>
      </c>
      <c r="E78" s="11">
        <v>600937</v>
      </c>
      <c r="J78" s="13">
        <v>74</v>
      </c>
      <c r="K78" s="11">
        <v>582701</v>
      </c>
      <c r="L78" s="11">
        <v>600933</v>
      </c>
      <c r="Q78" s="13">
        <v>74</v>
      </c>
      <c r="R78" s="11">
        <v>582766</v>
      </c>
      <c r="S78" s="11">
        <v>600924</v>
      </c>
      <c r="X78" s="13">
        <v>74</v>
      </c>
      <c r="Y78" s="11">
        <v>582830</v>
      </c>
      <c r="Z78" s="11">
        <v>600927</v>
      </c>
    </row>
    <row r="79" spans="3:26">
      <c r="C79" s="13">
        <v>75</v>
      </c>
      <c r="D79" s="11">
        <v>582648</v>
      </c>
      <c r="E79" s="11">
        <v>600936</v>
      </c>
      <c r="J79" s="13">
        <v>75</v>
      </c>
      <c r="K79" s="11">
        <v>582730</v>
      </c>
      <c r="L79" s="11">
        <v>600950</v>
      </c>
      <c r="Q79" s="13">
        <v>75</v>
      </c>
      <c r="R79" s="11">
        <v>582787</v>
      </c>
      <c r="S79" s="11">
        <v>600928</v>
      </c>
      <c r="X79" s="13">
        <v>75</v>
      </c>
      <c r="Y79" s="11">
        <v>582819</v>
      </c>
      <c r="Z79" s="11">
        <v>600931</v>
      </c>
    </row>
    <row r="80" spans="3:26">
      <c r="C80" s="13">
        <v>76</v>
      </c>
      <c r="D80" s="11">
        <v>582682</v>
      </c>
      <c r="E80" s="11">
        <v>600929</v>
      </c>
      <c r="J80" s="13">
        <v>76</v>
      </c>
      <c r="K80" s="11">
        <v>582720</v>
      </c>
      <c r="L80" s="11">
        <v>600941</v>
      </c>
      <c r="Q80" s="13">
        <v>76</v>
      </c>
      <c r="R80" s="11">
        <v>582750</v>
      </c>
      <c r="S80" s="11">
        <v>600951</v>
      </c>
      <c r="X80" s="13">
        <v>76</v>
      </c>
      <c r="Y80" s="11">
        <v>582833</v>
      </c>
      <c r="Z80" s="11">
        <v>600931</v>
      </c>
    </row>
    <row r="81" spans="2:35">
      <c r="C81" s="13">
        <v>77</v>
      </c>
      <c r="D81" s="11">
        <v>582676</v>
      </c>
      <c r="E81" s="11">
        <v>600938</v>
      </c>
      <c r="J81" s="13">
        <v>77</v>
      </c>
      <c r="K81" s="11">
        <v>582724</v>
      </c>
      <c r="L81" s="11">
        <v>600951</v>
      </c>
      <c r="Q81" s="13">
        <v>77</v>
      </c>
      <c r="R81" s="11">
        <v>582755</v>
      </c>
      <c r="S81" s="11">
        <v>600919</v>
      </c>
      <c r="X81" s="13">
        <v>77</v>
      </c>
      <c r="Y81" s="11">
        <v>582835</v>
      </c>
      <c r="Z81" s="11">
        <v>600928</v>
      </c>
    </row>
    <row r="82" spans="2:35">
      <c r="C82" s="13">
        <v>78</v>
      </c>
      <c r="D82" s="11">
        <v>582667</v>
      </c>
      <c r="E82" s="11">
        <v>600950</v>
      </c>
      <c r="J82" s="13">
        <v>78</v>
      </c>
      <c r="K82" s="11">
        <v>582739</v>
      </c>
      <c r="L82" s="11">
        <v>600948</v>
      </c>
      <c r="Q82" s="13">
        <v>78</v>
      </c>
      <c r="R82" s="11">
        <v>582767</v>
      </c>
      <c r="S82" s="11">
        <v>600941</v>
      </c>
      <c r="X82" s="13">
        <v>78</v>
      </c>
      <c r="Y82" s="11">
        <v>582822</v>
      </c>
      <c r="Z82" s="11">
        <v>600941</v>
      </c>
    </row>
    <row r="83" spans="2:35">
      <c r="C83" s="26">
        <v>79</v>
      </c>
      <c r="D83" s="11">
        <v>582649</v>
      </c>
      <c r="E83" s="11">
        <v>600929</v>
      </c>
      <c r="J83" s="13">
        <v>79</v>
      </c>
      <c r="K83" s="11">
        <v>582716</v>
      </c>
      <c r="L83" s="11">
        <v>600941</v>
      </c>
      <c r="Q83" s="13">
        <v>79</v>
      </c>
      <c r="R83" s="11">
        <v>582769</v>
      </c>
      <c r="S83" s="11">
        <v>600936</v>
      </c>
      <c r="X83" s="13">
        <v>79</v>
      </c>
      <c r="Y83" s="11">
        <v>582827</v>
      </c>
      <c r="Z83" s="11">
        <v>600940</v>
      </c>
    </row>
    <row r="84" spans="2:35">
      <c r="C84" s="16">
        <v>80</v>
      </c>
      <c r="D84" s="11">
        <v>582677</v>
      </c>
      <c r="E84" s="11">
        <v>600949</v>
      </c>
      <c r="F84" s="16"/>
      <c r="G84" s="16"/>
      <c r="H84" s="16"/>
      <c r="J84" s="13">
        <v>80</v>
      </c>
      <c r="K84" s="11">
        <v>582730</v>
      </c>
      <c r="L84" s="11">
        <v>600922</v>
      </c>
      <c r="M84" s="16"/>
      <c r="N84" s="16"/>
      <c r="O84" s="16"/>
      <c r="Q84" s="13">
        <v>80</v>
      </c>
      <c r="R84" s="11">
        <v>582773</v>
      </c>
      <c r="S84" s="11">
        <v>600915</v>
      </c>
      <c r="T84" s="16"/>
      <c r="U84" s="16"/>
      <c r="V84" s="16"/>
      <c r="X84" s="13">
        <v>80</v>
      </c>
      <c r="Y84" s="11">
        <v>582826</v>
      </c>
      <c r="Z84" s="11">
        <v>600946</v>
      </c>
      <c r="AA84" s="16"/>
      <c r="AB84" s="16"/>
      <c r="AC84" s="16"/>
      <c r="AD84" s="16"/>
      <c r="AE84" s="16"/>
      <c r="AF84" s="16"/>
      <c r="AG84" s="16"/>
      <c r="AH84" s="16"/>
      <c r="AI84" s="16"/>
    </row>
    <row r="87" spans="2:35">
      <c r="B87" t="s">
        <v>42</v>
      </c>
    </row>
    <row r="88" spans="2:35">
      <c r="B88" s="13">
        <v>1</v>
      </c>
      <c r="C88" s="13"/>
      <c r="D88" s="11">
        <v>582659</v>
      </c>
      <c r="E88" s="11">
        <v>600928</v>
      </c>
    </row>
    <row r="90" spans="2:35">
      <c r="B90">
        <v>2</v>
      </c>
      <c r="D90">
        <v>582652</v>
      </c>
      <c r="E90">
        <v>600921</v>
      </c>
    </row>
    <row r="91" spans="2:35">
      <c r="D91">
        <v>582767</v>
      </c>
      <c r="E91">
        <v>600913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AH321"/>
  <sheetViews>
    <sheetView topLeftCell="J1" zoomScale="90" zoomScaleNormal="90" workbookViewId="0">
      <pane ySplit="1" topLeftCell="A2" activePane="bottomLeft" state="frozen"/>
      <selection pane="bottomLeft" activeCell="W23" sqref="W23"/>
    </sheetView>
  </sheetViews>
  <sheetFormatPr defaultRowHeight="15"/>
  <cols>
    <col min="1" max="1" width="8.7109375" style="29"/>
    <col min="2" max="2" width="8.7109375" customWidth="1"/>
    <col min="3" max="3" width="8.7109375" style="14" customWidth="1"/>
    <col min="4" max="4" width="8.7109375" customWidth="1"/>
    <col min="5" max="5" width="8.7109375" style="14" customWidth="1"/>
    <col min="6" max="6" width="8.7109375" customWidth="1"/>
    <col min="7" max="7" width="8.7109375" style="14" customWidth="1"/>
    <col min="8" max="8" width="8.7109375" customWidth="1"/>
    <col min="9" max="9" width="8.7109375" style="14" customWidth="1"/>
    <col min="10" max="10" width="8.7109375" customWidth="1"/>
    <col min="11" max="11" width="8.7109375" style="14" customWidth="1"/>
    <col min="12" max="12" width="8.7109375" customWidth="1"/>
    <col min="13" max="13" width="8.7109375" style="14" customWidth="1"/>
    <col min="14" max="14" width="8.7109375" customWidth="1"/>
    <col min="15" max="15" width="8.7109375" style="14" customWidth="1"/>
    <col min="16" max="16" width="8.7109375" customWidth="1"/>
    <col min="17" max="17" width="8.7109375" style="14" customWidth="1"/>
    <col min="18" max="19" width="8.7109375" customWidth="1"/>
  </cols>
  <sheetData>
    <row r="1" spans="1:34" s="13" customFormat="1">
      <c r="A1" s="29"/>
      <c r="B1" s="28">
        <v>320</v>
      </c>
      <c r="C1" s="29"/>
      <c r="D1" s="28">
        <v>280</v>
      </c>
      <c r="E1" s="29"/>
      <c r="F1" s="28">
        <v>240</v>
      </c>
      <c r="G1" s="29"/>
      <c r="H1" s="28">
        <v>200</v>
      </c>
      <c r="I1" s="29"/>
      <c r="J1" s="28">
        <v>160</v>
      </c>
      <c r="K1" s="29"/>
      <c r="L1" s="28">
        <v>120</v>
      </c>
      <c r="M1" s="29"/>
      <c r="N1" s="28">
        <v>80</v>
      </c>
      <c r="O1" s="29"/>
      <c r="P1" s="28">
        <v>40</v>
      </c>
      <c r="Q1" s="29"/>
      <c r="R1" s="28">
        <v>32</v>
      </c>
      <c r="S1" s="28"/>
      <c r="T1" s="28">
        <v>24</v>
      </c>
      <c r="U1" s="28"/>
      <c r="V1" s="28">
        <v>16</v>
      </c>
      <c r="W1" s="28"/>
      <c r="X1" s="28">
        <v>8</v>
      </c>
      <c r="Y1" s="28"/>
      <c r="Z1" s="28">
        <v>1</v>
      </c>
      <c r="AA1" s="28"/>
      <c r="AB1" s="28">
        <v>4</v>
      </c>
      <c r="AC1" s="28"/>
      <c r="AD1" s="28">
        <v>12</v>
      </c>
      <c r="AE1" s="28"/>
      <c r="AF1" s="28">
        <v>20</v>
      </c>
      <c r="AG1" s="28"/>
      <c r="AH1" s="13">
        <v>2</v>
      </c>
    </row>
    <row r="2" spans="1:34">
      <c r="A2" s="29">
        <v>1</v>
      </c>
      <c r="B2">
        <f>'All Points'!D5</f>
        <v>582687</v>
      </c>
      <c r="C2" s="14">
        <f>'All Points'!E5</f>
        <v>600956</v>
      </c>
      <c r="D2">
        <f>'All Points'!D5</f>
        <v>582687</v>
      </c>
      <c r="E2" s="14">
        <f>'All Points'!E5</f>
        <v>600956</v>
      </c>
      <c r="F2">
        <f>'All Points'!D5</f>
        <v>582687</v>
      </c>
      <c r="G2" s="14">
        <f>'All Points'!E5</f>
        <v>600956</v>
      </c>
      <c r="H2">
        <f>'All Points'!D5</f>
        <v>582687</v>
      </c>
      <c r="I2" s="14">
        <f>'All Points'!E5</f>
        <v>600956</v>
      </c>
      <c r="J2">
        <f>'All Points'!D5</f>
        <v>582687</v>
      </c>
      <c r="K2">
        <f>'All Points'!E5</f>
        <v>600956</v>
      </c>
      <c r="L2">
        <f>'All Points'!D5</f>
        <v>582687</v>
      </c>
      <c r="M2">
        <f>'All Points'!E5</f>
        <v>600956</v>
      </c>
      <c r="N2">
        <f>'All Points'!D5</f>
        <v>582687</v>
      </c>
      <c r="O2">
        <f>'All Points'!E5</f>
        <v>600956</v>
      </c>
      <c r="P2">
        <f>'All Points'!D5</f>
        <v>582687</v>
      </c>
      <c r="Q2">
        <f>'All Points'!E5</f>
        <v>600956</v>
      </c>
      <c r="R2">
        <f>'All Points'!D5</f>
        <v>582687</v>
      </c>
      <c r="S2">
        <f>'All Points'!E5</f>
        <v>600956</v>
      </c>
      <c r="T2">
        <f>'All Points'!D5</f>
        <v>582687</v>
      </c>
      <c r="U2">
        <f>'All Points'!E5</f>
        <v>600956</v>
      </c>
      <c r="V2">
        <f>'All Points'!D5</f>
        <v>582687</v>
      </c>
      <c r="W2">
        <f>'All Points'!E5</f>
        <v>600956</v>
      </c>
      <c r="X2">
        <f>'All Points'!D5</f>
        <v>582687</v>
      </c>
      <c r="Y2">
        <f>'All Points'!E5</f>
        <v>600956</v>
      </c>
      <c r="Z2">
        <f>'All Points'!D88</f>
        <v>582659</v>
      </c>
      <c r="AA2">
        <f>'All Points'!E88</f>
        <v>600928</v>
      </c>
      <c r="AB2">
        <f>'All Points'!D5</f>
        <v>582687</v>
      </c>
      <c r="AC2">
        <f>'All Points'!E5</f>
        <v>600956</v>
      </c>
      <c r="AD2">
        <f>'All Points'!D5</f>
        <v>582687</v>
      </c>
      <c r="AE2">
        <f>'All Points'!E5</f>
        <v>600956</v>
      </c>
      <c r="AF2">
        <f>'All Points'!D5</f>
        <v>582687</v>
      </c>
      <c r="AG2">
        <f>'All Points'!E5</f>
        <v>600956</v>
      </c>
    </row>
    <row r="3" spans="1:34">
      <c r="A3" s="29">
        <v>2</v>
      </c>
      <c r="B3">
        <f>'All Points'!D6</f>
        <v>582646</v>
      </c>
      <c r="C3" s="14">
        <f>'All Points'!E6</f>
        <v>600955</v>
      </c>
      <c r="D3">
        <f>'All Points'!D6</f>
        <v>582646</v>
      </c>
      <c r="E3" s="14">
        <f>'All Points'!E6</f>
        <v>600955</v>
      </c>
      <c r="F3">
        <f>'All Points'!D6</f>
        <v>582646</v>
      </c>
      <c r="G3" s="14">
        <f>'All Points'!E6</f>
        <v>600955</v>
      </c>
      <c r="H3">
        <f>'All Points'!D6</f>
        <v>582646</v>
      </c>
      <c r="I3" s="14">
        <f>'All Points'!E6</f>
        <v>600955</v>
      </c>
      <c r="J3">
        <f>'All Points'!D6</f>
        <v>582646</v>
      </c>
      <c r="K3">
        <f>'All Points'!E6</f>
        <v>600955</v>
      </c>
      <c r="L3">
        <f>'All Points'!D6</f>
        <v>582646</v>
      </c>
      <c r="M3">
        <f>'All Points'!E6</f>
        <v>600955</v>
      </c>
      <c r="N3">
        <f>'All Points'!D6</f>
        <v>582646</v>
      </c>
      <c r="O3">
        <f>'All Points'!E6</f>
        <v>600955</v>
      </c>
      <c r="P3">
        <f>'All Points'!D6</f>
        <v>582646</v>
      </c>
      <c r="Q3">
        <f>'All Points'!E6</f>
        <v>600955</v>
      </c>
      <c r="R3">
        <f>'All Points'!D6</f>
        <v>582646</v>
      </c>
      <c r="S3">
        <f>'All Points'!E6</f>
        <v>600955</v>
      </c>
      <c r="T3">
        <f>'All Points'!D6</f>
        <v>582646</v>
      </c>
      <c r="U3">
        <f>'All Points'!E6</f>
        <v>600955</v>
      </c>
      <c r="V3">
        <f>'All Points'!D6</f>
        <v>582646</v>
      </c>
      <c r="W3">
        <f>'All Points'!E6</f>
        <v>600955</v>
      </c>
      <c r="X3">
        <f>'All Points'!D6</f>
        <v>582646</v>
      </c>
      <c r="Y3">
        <f>'All Points'!E6</f>
        <v>600955</v>
      </c>
      <c r="AB3">
        <f>'All Points'!K5</f>
        <v>582707</v>
      </c>
      <c r="AC3">
        <f>'All Points'!L5</f>
        <v>600944</v>
      </c>
      <c r="AD3">
        <f>'All Points'!D6</f>
        <v>582646</v>
      </c>
      <c r="AE3">
        <f>'All Points'!E6</f>
        <v>600955</v>
      </c>
      <c r="AF3">
        <f>'All Points'!D6</f>
        <v>582646</v>
      </c>
      <c r="AG3">
        <f>'All Points'!E6</f>
        <v>600955</v>
      </c>
    </row>
    <row r="4" spans="1:34">
      <c r="A4" s="29">
        <v>3</v>
      </c>
      <c r="B4">
        <f>'All Points'!D7</f>
        <v>582677</v>
      </c>
      <c r="C4" s="14">
        <f>'All Points'!E7</f>
        <v>600948</v>
      </c>
      <c r="D4">
        <f>'All Points'!D7</f>
        <v>582677</v>
      </c>
      <c r="E4" s="14">
        <f>'All Points'!E7</f>
        <v>600948</v>
      </c>
      <c r="F4">
        <f>'All Points'!D7</f>
        <v>582677</v>
      </c>
      <c r="G4" s="14">
        <f>'All Points'!E7</f>
        <v>600948</v>
      </c>
      <c r="H4">
        <f>'All Points'!D7</f>
        <v>582677</v>
      </c>
      <c r="I4" s="14">
        <f>'All Points'!E7</f>
        <v>600948</v>
      </c>
      <c r="J4">
        <f>'All Points'!D7</f>
        <v>582677</v>
      </c>
      <c r="K4">
        <f>'All Points'!E7</f>
        <v>600948</v>
      </c>
      <c r="L4">
        <f>'All Points'!D7</f>
        <v>582677</v>
      </c>
      <c r="M4">
        <f>'All Points'!E7</f>
        <v>600948</v>
      </c>
      <c r="N4">
        <f>'All Points'!D7</f>
        <v>582677</v>
      </c>
      <c r="O4">
        <f>'All Points'!E7</f>
        <v>600948</v>
      </c>
      <c r="P4">
        <f>'All Points'!D7</f>
        <v>582677</v>
      </c>
      <c r="Q4">
        <f>'All Points'!E7</f>
        <v>600948</v>
      </c>
      <c r="R4">
        <f>'All Points'!D7</f>
        <v>582677</v>
      </c>
      <c r="S4">
        <f>'All Points'!E7</f>
        <v>600948</v>
      </c>
      <c r="T4">
        <f>'All Points'!D7</f>
        <v>582677</v>
      </c>
      <c r="U4">
        <f>'All Points'!E7</f>
        <v>600948</v>
      </c>
      <c r="V4">
        <f>'All Points'!D7</f>
        <v>582677</v>
      </c>
      <c r="W4">
        <f>'All Points'!E7</f>
        <v>600948</v>
      </c>
      <c r="X4">
        <f>'All Points'!K5</f>
        <v>582707</v>
      </c>
      <c r="Y4">
        <f>'All Points'!L5</f>
        <v>600944</v>
      </c>
      <c r="AB4">
        <f>'All Points'!R5</f>
        <v>582786</v>
      </c>
      <c r="AC4">
        <f>'All Points'!S5</f>
        <v>600936</v>
      </c>
      <c r="AD4">
        <f>'All Points'!D7</f>
        <v>582677</v>
      </c>
      <c r="AE4">
        <f>'All Points'!E7</f>
        <v>600948</v>
      </c>
      <c r="AF4">
        <f>'All Points'!D7</f>
        <v>582677</v>
      </c>
      <c r="AG4">
        <f>'All Points'!E7</f>
        <v>600948</v>
      </c>
    </row>
    <row r="5" spans="1:34">
      <c r="A5" s="29">
        <v>4</v>
      </c>
      <c r="B5">
        <f>'All Points'!D8</f>
        <v>582683</v>
      </c>
      <c r="C5" s="14">
        <f>'All Points'!E8</f>
        <v>600926</v>
      </c>
      <c r="D5">
        <f>'All Points'!D8</f>
        <v>582683</v>
      </c>
      <c r="E5" s="14">
        <f>'All Points'!E8</f>
        <v>600926</v>
      </c>
      <c r="F5">
        <f>'All Points'!D8</f>
        <v>582683</v>
      </c>
      <c r="G5" s="14">
        <f>'All Points'!E8</f>
        <v>600926</v>
      </c>
      <c r="H5">
        <f>'All Points'!D8</f>
        <v>582683</v>
      </c>
      <c r="I5" s="14">
        <f>'All Points'!E8</f>
        <v>600926</v>
      </c>
      <c r="J5">
        <f>'All Points'!D8</f>
        <v>582683</v>
      </c>
      <c r="K5">
        <f>'All Points'!E8</f>
        <v>600926</v>
      </c>
      <c r="L5">
        <f>'All Points'!D8</f>
        <v>582683</v>
      </c>
      <c r="M5">
        <f>'All Points'!E8</f>
        <v>600926</v>
      </c>
      <c r="N5">
        <f>'All Points'!D8</f>
        <v>582683</v>
      </c>
      <c r="O5">
        <f>'All Points'!E8</f>
        <v>600926</v>
      </c>
      <c r="P5">
        <f>'All Points'!D8</f>
        <v>582683</v>
      </c>
      <c r="Q5">
        <f>'All Points'!E8</f>
        <v>600926</v>
      </c>
      <c r="R5">
        <f>'All Points'!D8</f>
        <v>582683</v>
      </c>
      <c r="S5">
        <f>'All Points'!E8</f>
        <v>600926</v>
      </c>
      <c r="T5">
        <f>'All Points'!D8</f>
        <v>582683</v>
      </c>
      <c r="U5">
        <f>'All Points'!E8</f>
        <v>600926</v>
      </c>
      <c r="V5">
        <f>'All Points'!D8</f>
        <v>582683</v>
      </c>
      <c r="W5">
        <f>'All Points'!E8</f>
        <v>600926</v>
      </c>
      <c r="X5">
        <f>'All Points'!K6</f>
        <v>582731</v>
      </c>
      <c r="Y5">
        <f>'All Points'!L6</f>
        <v>600917</v>
      </c>
      <c r="AB5">
        <f>'All Points'!Y5</f>
        <v>582824</v>
      </c>
      <c r="AC5">
        <f>'All Points'!Z5</f>
        <v>600914</v>
      </c>
      <c r="AD5">
        <f>'All Points'!K5</f>
        <v>582707</v>
      </c>
      <c r="AE5">
        <f>'All Points'!L5</f>
        <v>600944</v>
      </c>
      <c r="AF5">
        <f>'All Points'!D8</f>
        <v>582683</v>
      </c>
      <c r="AG5">
        <f>'All Points'!E8</f>
        <v>600926</v>
      </c>
    </row>
    <row r="6" spans="1:34">
      <c r="A6" s="29">
        <v>5</v>
      </c>
      <c r="B6">
        <f>'All Points'!D9</f>
        <v>582653</v>
      </c>
      <c r="C6" s="14">
        <f>'All Points'!E9</f>
        <v>600925</v>
      </c>
      <c r="D6">
        <f>'All Points'!D9</f>
        <v>582653</v>
      </c>
      <c r="E6" s="14">
        <f>'All Points'!E9</f>
        <v>600925</v>
      </c>
      <c r="F6">
        <f>'All Points'!D9</f>
        <v>582653</v>
      </c>
      <c r="G6" s="14">
        <f>'All Points'!E9</f>
        <v>600925</v>
      </c>
      <c r="H6">
        <f>'All Points'!D9</f>
        <v>582653</v>
      </c>
      <c r="I6" s="14">
        <f>'All Points'!E9</f>
        <v>600925</v>
      </c>
      <c r="J6">
        <f>'All Points'!D9</f>
        <v>582653</v>
      </c>
      <c r="K6">
        <f>'All Points'!E9</f>
        <v>600925</v>
      </c>
      <c r="L6">
        <f>'All Points'!D9</f>
        <v>582653</v>
      </c>
      <c r="M6">
        <f>'All Points'!E9</f>
        <v>600925</v>
      </c>
      <c r="N6">
        <f>'All Points'!D9</f>
        <v>582653</v>
      </c>
      <c r="O6">
        <f>'All Points'!E9</f>
        <v>600925</v>
      </c>
      <c r="P6">
        <f>'All Points'!D9</f>
        <v>582653</v>
      </c>
      <c r="Q6">
        <f>'All Points'!E9</f>
        <v>600925</v>
      </c>
      <c r="R6">
        <f>'All Points'!D9</f>
        <v>582653</v>
      </c>
      <c r="S6">
        <f>'All Points'!E9</f>
        <v>600925</v>
      </c>
      <c r="T6">
        <f>'All Points'!D9</f>
        <v>582653</v>
      </c>
      <c r="U6">
        <f>'All Points'!E9</f>
        <v>600925</v>
      </c>
      <c r="V6">
        <f>'All Points'!K5</f>
        <v>582707</v>
      </c>
      <c r="W6">
        <f>'All Points'!L5</f>
        <v>600944</v>
      </c>
      <c r="X6">
        <f>'All Points'!R5</f>
        <v>582786</v>
      </c>
      <c r="Y6">
        <f>'All Points'!S5</f>
        <v>600936</v>
      </c>
      <c r="AD6">
        <f>'All Points'!K6</f>
        <v>582731</v>
      </c>
      <c r="AE6">
        <f>'All Points'!L6</f>
        <v>600917</v>
      </c>
      <c r="AF6">
        <f>'All Points'!D9</f>
        <v>582653</v>
      </c>
      <c r="AG6">
        <f>'All Points'!E9</f>
        <v>600925</v>
      </c>
    </row>
    <row r="7" spans="1:34">
      <c r="A7" s="29">
        <v>6</v>
      </c>
      <c r="B7">
        <f>'All Points'!D10</f>
        <v>582647</v>
      </c>
      <c r="C7" s="14">
        <f>'All Points'!E10</f>
        <v>600927</v>
      </c>
      <c r="D7">
        <f>'All Points'!D10</f>
        <v>582647</v>
      </c>
      <c r="E7" s="14">
        <f>'All Points'!E10</f>
        <v>600927</v>
      </c>
      <c r="F7">
        <f>'All Points'!D10</f>
        <v>582647</v>
      </c>
      <c r="G7" s="14">
        <f>'All Points'!E10</f>
        <v>600927</v>
      </c>
      <c r="H7">
        <f>'All Points'!D10</f>
        <v>582647</v>
      </c>
      <c r="I7" s="14">
        <f>'All Points'!E10</f>
        <v>600927</v>
      </c>
      <c r="J7">
        <f>'All Points'!D10</f>
        <v>582647</v>
      </c>
      <c r="K7">
        <f>'All Points'!E10</f>
        <v>600927</v>
      </c>
      <c r="L7">
        <f>'All Points'!D10</f>
        <v>582647</v>
      </c>
      <c r="M7">
        <f>'All Points'!E10</f>
        <v>600927</v>
      </c>
      <c r="N7">
        <f>'All Points'!D10</f>
        <v>582647</v>
      </c>
      <c r="O7">
        <f>'All Points'!E10</f>
        <v>600927</v>
      </c>
      <c r="P7">
        <f>'All Points'!D10</f>
        <v>582647</v>
      </c>
      <c r="Q7">
        <f>'All Points'!E10</f>
        <v>600927</v>
      </c>
      <c r="R7">
        <f>'All Points'!D10</f>
        <v>582647</v>
      </c>
      <c r="S7">
        <f>'All Points'!E10</f>
        <v>600927</v>
      </c>
      <c r="T7">
        <f>'All Points'!D10</f>
        <v>582647</v>
      </c>
      <c r="U7">
        <f>'All Points'!E10</f>
        <v>600927</v>
      </c>
      <c r="V7">
        <f>'All Points'!K6</f>
        <v>582731</v>
      </c>
      <c r="W7">
        <f>'All Points'!L6</f>
        <v>600917</v>
      </c>
      <c r="X7">
        <f>'All Points'!R6</f>
        <v>582766</v>
      </c>
      <c r="Y7">
        <f>'All Points'!S6</f>
        <v>600916</v>
      </c>
      <c r="AD7">
        <f>'All Points'!K7</f>
        <v>582700</v>
      </c>
      <c r="AE7">
        <f>'All Points'!L7</f>
        <v>600922</v>
      </c>
      <c r="AF7">
        <f>'All Points'!K5</f>
        <v>582707</v>
      </c>
      <c r="AG7">
        <f>'All Points'!L5</f>
        <v>600944</v>
      </c>
    </row>
    <row r="8" spans="1:34">
      <c r="A8" s="29">
        <v>7</v>
      </c>
      <c r="B8">
        <f>'All Points'!D11</f>
        <v>582681</v>
      </c>
      <c r="C8" s="14">
        <f>'All Points'!E11</f>
        <v>600917</v>
      </c>
      <c r="D8">
        <f>'All Points'!D11</f>
        <v>582681</v>
      </c>
      <c r="E8" s="14">
        <f>'All Points'!E11</f>
        <v>600917</v>
      </c>
      <c r="F8">
        <f>'All Points'!D11</f>
        <v>582681</v>
      </c>
      <c r="G8" s="14">
        <f>'All Points'!E11</f>
        <v>600917</v>
      </c>
      <c r="H8">
        <f>'All Points'!D11</f>
        <v>582681</v>
      </c>
      <c r="I8" s="14">
        <f>'All Points'!E11</f>
        <v>600917</v>
      </c>
      <c r="J8">
        <f>'All Points'!D11</f>
        <v>582681</v>
      </c>
      <c r="K8">
        <f>'All Points'!E11</f>
        <v>600917</v>
      </c>
      <c r="L8">
        <f>'All Points'!D11</f>
        <v>582681</v>
      </c>
      <c r="M8">
        <f>'All Points'!E11</f>
        <v>600917</v>
      </c>
      <c r="N8">
        <f>'All Points'!D11</f>
        <v>582681</v>
      </c>
      <c r="O8">
        <f>'All Points'!E11</f>
        <v>600917</v>
      </c>
      <c r="P8">
        <f>'All Points'!D11</f>
        <v>582681</v>
      </c>
      <c r="Q8">
        <f>'All Points'!E11</f>
        <v>600917</v>
      </c>
      <c r="R8">
        <f>'All Points'!D11</f>
        <v>582681</v>
      </c>
      <c r="S8">
        <f>'All Points'!E11</f>
        <v>600917</v>
      </c>
      <c r="T8">
        <f>'All Points'!K5</f>
        <v>582707</v>
      </c>
      <c r="U8">
        <f>'All Points'!L5</f>
        <v>600944</v>
      </c>
      <c r="V8">
        <f>'All Points'!K7</f>
        <v>582700</v>
      </c>
      <c r="W8">
        <f>'All Points'!L7</f>
        <v>600922</v>
      </c>
      <c r="X8">
        <f>'All Points'!Y5</f>
        <v>582824</v>
      </c>
      <c r="Y8">
        <f>'All Points'!Z5</f>
        <v>600914</v>
      </c>
      <c r="AD8">
        <f>'All Points'!R5</f>
        <v>582786</v>
      </c>
      <c r="AE8">
        <f>'All Points'!S5</f>
        <v>600936</v>
      </c>
      <c r="AF8">
        <f>'All Points'!K6</f>
        <v>582731</v>
      </c>
      <c r="AG8">
        <f>'All Points'!L6</f>
        <v>600917</v>
      </c>
    </row>
    <row r="9" spans="1:34">
      <c r="A9" s="29">
        <v>8</v>
      </c>
      <c r="B9">
        <f>'All Points'!D12</f>
        <v>582690</v>
      </c>
      <c r="C9" s="14">
        <f>'All Points'!E12</f>
        <v>600928</v>
      </c>
      <c r="D9">
        <f>'All Points'!D12</f>
        <v>582690</v>
      </c>
      <c r="E9" s="14">
        <f>'All Points'!E12</f>
        <v>600928</v>
      </c>
      <c r="F9">
        <f>'All Points'!D12</f>
        <v>582690</v>
      </c>
      <c r="G9" s="14">
        <f>'All Points'!E12</f>
        <v>600928</v>
      </c>
      <c r="H9">
        <f>'All Points'!D12</f>
        <v>582690</v>
      </c>
      <c r="I9" s="14">
        <f>'All Points'!E12</f>
        <v>600928</v>
      </c>
      <c r="J9">
        <f>'All Points'!D12</f>
        <v>582690</v>
      </c>
      <c r="K9">
        <f>'All Points'!E12</f>
        <v>600928</v>
      </c>
      <c r="L9">
        <f>'All Points'!D12</f>
        <v>582690</v>
      </c>
      <c r="M9">
        <f>'All Points'!E12</f>
        <v>600928</v>
      </c>
      <c r="N9">
        <f>'All Points'!D12</f>
        <v>582690</v>
      </c>
      <c r="O9">
        <f>'All Points'!E12</f>
        <v>600928</v>
      </c>
      <c r="P9">
        <f>'All Points'!D12</f>
        <v>582690</v>
      </c>
      <c r="Q9">
        <f>'All Points'!E12</f>
        <v>600928</v>
      </c>
      <c r="R9">
        <f>'All Points'!D12</f>
        <v>582690</v>
      </c>
      <c r="S9">
        <f>'All Points'!E12</f>
        <v>600928</v>
      </c>
      <c r="T9">
        <f>'All Points'!K6</f>
        <v>582731</v>
      </c>
      <c r="U9">
        <f>'All Points'!L6</f>
        <v>600917</v>
      </c>
      <c r="V9">
        <f>'All Points'!K8</f>
        <v>582729</v>
      </c>
      <c r="W9">
        <f>'All Points'!L8</f>
        <v>600951</v>
      </c>
      <c r="X9">
        <f>'All Points'!Y6</f>
        <v>582813</v>
      </c>
      <c r="Y9">
        <f>'All Points'!Z6</f>
        <v>600940</v>
      </c>
      <c r="AD9">
        <f>'All Points'!R6</f>
        <v>582766</v>
      </c>
      <c r="AE9">
        <f>'All Points'!S6</f>
        <v>600916</v>
      </c>
      <c r="AF9">
        <f>'All Points'!K7</f>
        <v>582700</v>
      </c>
      <c r="AG9">
        <f>'All Points'!L7</f>
        <v>600922</v>
      </c>
    </row>
    <row r="10" spans="1:34">
      <c r="A10" s="29">
        <v>9</v>
      </c>
      <c r="B10">
        <f>'All Points'!D13</f>
        <v>582685</v>
      </c>
      <c r="C10" s="14">
        <f>'All Points'!E13</f>
        <v>600942</v>
      </c>
      <c r="D10">
        <f>'All Points'!D13</f>
        <v>582685</v>
      </c>
      <c r="E10" s="14">
        <f>'All Points'!E13</f>
        <v>600942</v>
      </c>
      <c r="F10">
        <f>'All Points'!D13</f>
        <v>582685</v>
      </c>
      <c r="G10" s="14">
        <f>'All Points'!E13</f>
        <v>600942</v>
      </c>
      <c r="H10">
        <f>'All Points'!D13</f>
        <v>582685</v>
      </c>
      <c r="I10" s="14">
        <f>'All Points'!E13</f>
        <v>600942</v>
      </c>
      <c r="J10">
        <f>'All Points'!D13</f>
        <v>582685</v>
      </c>
      <c r="K10">
        <f>'All Points'!E13</f>
        <v>600942</v>
      </c>
      <c r="L10">
        <f>'All Points'!D13</f>
        <v>582685</v>
      </c>
      <c r="M10">
        <f>'All Points'!E13</f>
        <v>600942</v>
      </c>
      <c r="N10">
        <f>'All Points'!D13</f>
        <v>582685</v>
      </c>
      <c r="O10">
        <f>'All Points'!E13</f>
        <v>600942</v>
      </c>
      <c r="P10">
        <f>'All Points'!D13</f>
        <v>582685</v>
      </c>
      <c r="Q10">
        <f>'All Points'!E13</f>
        <v>600942</v>
      </c>
      <c r="R10">
        <f>'All Points'!K5</f>
        <v>582707</v>
      </c>
      <c r="S10">
        <f>'All Points'!L5</f>
        <v>600944</v>
      </c>
      <c r="T10">
        <f>'All Points'!K7</f>
        <v>582700</v>
      </c>
      <c r="U10">
        <f>'All Points'!L7</f>
        <v>600922</v>
      </c>
      <c r="V10">
        <f>'All Points'!R5</f>
        <v>582786</v>
      </c>
      <c r="W10">
        <f>'All Points'!S5</f>
        <v>600936</v>
      </c>
      <c r="AD10">
        <f>'All Points'!R7</f>
        <v>582755</v>
      </c>
      <c r="AE10">
        <f>'All Points'!S7</f>
        <v>600932</v>
      </c>
      <c r="AF10">
        <f>'All Points'!K8</f>
        <v>582729</v>
      </c>
      <c r="AG10">
        <f>'All Points'!L8</f>
        <v>600951</v>
      </c>
    </row>
    <row r="11" spans="1:34">
      <c r="A11" s="29">
        <v>10</v>
      </c>
      <c r="B11">
        <f>'All Points'!D14</f>
        <v>582651</v>
      </c>
      <c r="C11" s="14">
        <f>'All Points'!E14</f>
        <v>600948</v>
      </c>
      <c r="D11">
        <f>'All Points'!D14</f>
        <v>582651</v>
      </c>
      <c r="E11" s="14">
        <f>'All Points'!E14</f>
        <v>600948</v>
      </c>
      <c r="F11">
        <f>'All Points'!D14</f>
        <v>582651</v>
      </c>
      <c r="G11" s="14">
        <f>'All Points'!E14</f>
        <v>600948</v>
      </c>
      <c r="H11">
        <f>'All Points'!D14</f>
        <v>582651</v>
      </c>
      <c r="I11" s="14">
        <f>'All Points'!E14</f>
        <v>600948</v>
      </c>
      <c r="J11">
        <f>'All Points'!D14</f>
        <v>582651</v>
      </c>
      <c r="K11">
        <f>'All Points'!E14</f>
        <v>600948</v>
      </c>
      <c r="L11">
        <f>'All Points'!D14</f>
        <v>582651</v>
      </c>
      <c r="M11">
        <f>'All Points'!E14</f>
        <v>600948</v>
      </c>
      <c r="N11">
        <f>'All Points'!D14</f>
        <v>582651</v>
      </c>
      <c r="O11">
        <f>'All Points'!E14</f>
        <v>600948</v>
      </c>
      <c r="P11">
        <f>'All Points'!D14</f>
        <v>582651</v>
      </c>
      <c r="Q11">
        <f>'All Points'!E14</f>
        <v>600948</v>
      </c>
      <c r="R11">
        <f>'All Points'!K6</f>
        <v>582731</v>
      </c>
      <c r="S11">
        <f>'All Points'!L6</f>
        <v>600917</v>
      </c>
      <c r="T11">
        <f>'All Points'!K8</f>
        <v>582729</v>
      </c>
      <c r="U11">
        <f>'All Points'!L8</f>
        <v>600951</v>
      </c>
      <c r="V11">
        <f>'All Points'!R6</f>
        <v>582766</v>
      </c>
      <c r="W11">
        <f>'All Points'!S6</f>
        <v>600916</v>
      </c>
      <c r="AD11">
        <f>'All Points'!Y5</f>
        <v>582824</v>
      </c>
      <c r="AE11">
        <f>'All Points'!Z5</f>
        <v>600914</v>
      </c>
      <c r="AF11">
        <f>'All Points'!K9</f>
        <v>582722</v>
      </c>
      <c r="AG11">
        <f>'All Points'!L9</f>
        <v>600952</v>
      </c>
    </row>
    <row r="12" spans="1:34">
      <c r="A12" s="29">
        <v>11</v>
      </c>
      <c r="B12">
        <f>'All Points'!D15</f>
        <v>582663</v>
      </c>
      <c r="C12" s="14">
        <f>'All Points'!E15</f>
        <v>600952</v>
      </c>
      <c r="D12">
        <f>'All Points'!D15</f>
        <v>582663</v>
      </c>
      <c r="E12" s="14">
        <f>'All Points'!E15</f>
        <v>600952</v>
      </c>
      <c r="F12">
        <f>'All Points'!D15</f>
        <v>582663</v>
      </c>
      <c r="G12" s="14">
        <f>'All Points'!E15</f>
        <v>600952</v>
      </c>
      <c r="H12">
        <f>'All Points'!D15</f>
        <v>582663</v>
      </c>
      <c r="I12" s="14">
        <f>'All Points'!E15</f>
        <v>600952</v>
      </c>
      <c r="J12">
        <f>'All Points'!D15</f>
        <v>582663</v>
      </c>
      <c r="K12">
        <f>'All Points'!E15</f>
        <v>600952</v>
      </c>
      <c r="L12">
        <f>'All Points'!D15</f>
        <v>582663</v>
      </c>
      <c r="M12">
        <f>'All Points'!E15</f>
        <v>600952</v>
      </c>
      <c r="N12">
        <f>'All Points'!D15</f>
        <v>582663</v>
      </c>
      <c r="O12">
        <f>'All Points'!E15</f>
        <v>600952</v>
      </c>
      <c r="P12">
        <f>'All Points'!K5</f>
        <v>582707</v>
      </c>
      <c r="Q12">
        <f>'All Points'!L5</f>
        <v>600944</v>
      </c>
      <c r="R12">
        <f>'All Points'!K7</f>
        <v>582700</v>
      </c>
      <c r="S12">
        <f>'All Points'!L7</f>
        <v>600922</v>
      </c>
      <c r="T12">
        <f>'All Points'!K9</f>
        <v>582722</v>
      </c>
      <c r="U12">
        <f>'All Points'!L9</f>
        <v>600952</v>
      </c>
      <c r="V12">
        <f>'All Points'!R7</f>
        <v>582755</v>
      </c>
      <c r="W12">
        <f>'All Points'!S7</f>
        <v>600932</v>
      </c>
      <c r="AD12">
        <f>'All Points'!Y6</f>
        <v>582813</v>
      </c>
      <c r="AE12">
        <f>'All Points'!Z6</f>
        <v>600940</v>
      </c>
      <c r="AF12">
        <f>'All Points'!R5</f>
        <v>582786</v>
      </c>
      <c r="AG12">
        <f>'All Points'!S5</f>
        <v>600936</v>
      </c>
    </row>
    <row r="13" spans="1:34">
      <c r="A13" s="29">
        <v>12</v>
      </c>
      <c r="B13">
        <f>'All Points'!D16</f>
        <v>582651</v>
      </c>
      <c r="C13" s="14">
        <f>'All Points'!E16</f>
        <v>600939</v>
      </c>
      <c r="D13">
        <f>'All Points'!D16</f>
        <v>582651</v>
      </c>
      <c r="E13" s="14">
        <f>'All Points'!E16</f>
        <v>600939</v>
      </c>
      <c r="F13">
        <f>'All Points'!D16</f>
        <v>582651</v>
      </c>
      <c r="G13" s="14">
        <f>'All Points'!E16</f>
        <v>600939</v>
      </c>
      <c r="H13">
        <f>'All Points'!D16</f>
        <v>582651</v>
      </c>
      <c r="I13" s="14">
        <f>'All Points'!E16</f>
        <v>600939</v>
      </c>
      <c r="J13">
        <f>'All Points'!D16</f>
        <v>582651</v>
      </c>
      <c r="K13">
        <f>'All Points'!E16</f>
        <v>600939</v>
      </c>
      <c r="L13">
        <f>'All Points'!D16</f>
        <v>582651</v>
      </c>
      <c r="M13">
        <f>'All Points'!E16</f>
        <v>600939</v>
      </c>
      <c r="N13">
        <f>'All Points'!D16</f>
        <v>582651</v>
      </c>
      <c r="O13">
        <f>'All Points'!E16</f>
        <v>600939</v>
      </c>
      <c r="P13">
        <f>'All Points'!K6</f>
        <v>582731</v>
      </c>
      <c r="Q13">
        <f>'All Points'!L6</f>
        <v>600917</v>
      </c>
      <c r="R13">
        <f>'All Points'!K8</f>
        <v>582729</v>
      </c>
      <c r="S13">
        <f>'All Points'!L8</f>
        <v>600951</v>
      </c>
      <c r="T13">
        <f>'All Points'!K10</f>
        <v>582719</v>
      </c>
      <c r="U13">
        <f>'All Points'!L10</f>
        <v>600950</v>
      </c>
      <c r="V13">
        <f>'All Points'!R8</f>
        <v>582776</v>
      </c>
      <c r="W13">
        <f>'All Points'!S8</f>
        <v>600941</v>
      </c>
      <c r="AD13">
        <f>'All Points'!Y7</f>
        <v>582820</v>
      </c>
      <c r="AE13">
        <f>'All Points'!Z7</f>
        <v>600920</v>
      </c>
      <c r="AF13">
        <f>'All Points'!R6</f>
        <v>582766</v>
      </c>
      <c r="AG13">
        <f>'All Points'!S6</f>
        <v>600916</v>
      </c>
    </row>
    <row r="14" spans="1:34">
      <c r="A14" s="29">
        <v>13</v>
      </c>
      <c r="B14">
        <f>'All Points'!D17</f>
        <v>582649</v>
      </c>
      <c r="C14" s="14">
        <f>'All Points'!E17</f>
        <v>600921</v>
      </c>
      <c r="D14">
        <f>'All Points'!D17</f>
        <v>582649</v>
      </c>
      <c r="E14" s="14">
        <f>'All Points'!E17</f>
        <v>600921</v>
      </c>
      <c r="F14">
        <f>'All Points'!D17</f>
        <v>582649</v>
      </c>
      <c r="G14" s="14">
        <f>'All Points'!E17</f>
        <v>600921</v>
      </c>
      <c r="H14">
        <f>'All Points'!D17</f>
        <v>582649</v>
      </c>
      <c r="I14" s="14">
        <f>'All Points'!E17</f>
        <v>600921</v>
      </c>
      <c r="J14">
        <f>'All Points'!D17</f>
        <v>582649</v>
      </c>
      <c r="K14">
        <f>'All Points'!E17</f>
        <v>600921</v>
      </c>
      <c r="L14">
        <f>'All Points'!D17</f>
        <v>582649</v>
      </c>
      <c r="M14">
        <f>'All Points'!E17</f>
        <v>600921</v>
      </c>
      <c r="N14">
        <f>'All Points'!D17</f>
        <v>582649</v>
      </c>
      <c r="O14">
        <f>'All Points'!E17</f>
        <v>600921</v>
      </c>
      <c r="P14">
        <f>'All Points'!K7</f>
        <v>582700</v>
      </c>
      <c r="Q14">
        <f>'All Points'!L7</f>
        <v>600922</v>
      </c>
      <c r="R14">
        <f>'All Points'!K9</f>
        <v>582722</v>
      </c>
      <c r="S14">
        <f>'All Points'!L9</f>
        <v>600952</v>
      </c>
      <c r="T14">
        <f>'All Points'!R5</f>
        <v>582786</v>
      </c>
      <c r="U14">
        <f>'All Points'!S5</f>
        <v>600936</v>
      </c>
      <c r="V14">
        <f>'All Points'!Y5</f>
        <v>582824</v>
      </c>
      <c r="W14">
        <f>'All Points'!Z5</f>
        <v>600914</v>
      </c>
      <c r="AD14" s="117"/>
      <c r="AE14" s="117"/>
      <c r="AF14">
        <f>'All Points'!R7</f>
        <v>582755</v>
      </c>
      <c r="AG14">
        <f>'All Points'!S7</f>
        <v>600932</v>
      </c>
    </row>
    <row r="15" spans="1:34">
      <c r="A15" s="29">
        <v>14</v>
      </c>
      <c r="B15">
        <f>'All Points'!D18</f>
        <v>582652</v>
      </c>
      <c r="C15" s="14">
        <f>'All Points'!E18</f>
        <v>600918</v>
      </c>
      <c r="D15">
        <f>'All Points'!D18</f>
        <v>582652</v>
      </c>
      <c r="E15" s="14">
        <f>'All Points'!E18</f>
        <v>600918</v>
      </c>
      <c r="F15">
        <f>'All Points'!D18</f>
        <v>582652</v>
      </c>
      <c r="G15" s="14">
        <f>'All Points'!E18</f>
        <v>600918</v>
      </c>
      <c r="H15">
        <f>'All Points'!D18</f>
        <v>582652</v>
      </c>
      <c r="I15" s="14">
        <f>'All Points'!E18</f>
        <v>600918</v>
      </c>
      <c r="J15">
        <f>'All Points'!D18</f>
        <v>582652</v>
      </c>
      <c r="K15">
        <f>'All Points'!E18</f>
        <v>600918</v>
      </c>
      <c r="L15">
        <f>'All Points'!D18</f>
        <v>582652</v>
      </c>
      <c r="M15">
        <f>'All Points'!E18</f>
        <v>600918</v>
      </c>
      <c r="N15">
        <f>'All Points'!D18</f>
        <v>582652</v>
      </c>
      <c r="O15">
        <f>'All Points'!E18</f>
        <v>600918</v>
      </c>
      <c r="P15">
        <f>'All Points'!K8</f>
        <v>582729</v>
      </c>
      <c r="Q15">
        <f>'All Points'!L8</f>
        <v>600951</v>
      </c>
      <c r="R15">
        <f>'All Points'!K10</f>
        <v>582719</v>
      </c>
      <c r="S15">
        <f>'All Points'!L10</f>
        <v>600950</v>
      </c>
      <c r="T15">
        <f>'All Points'!R6</f>
        <v>582766</v>
      </c>
      <c r="U15">
        <f>'All Points'!S6</f>
        <v>600916</v>
      </c>
      <c r="V15">
        <f>'All Points'!Y6</f>
        <v>582813</v>
      </c>
      <c r="W15">
        <f>'All Points'!Z6</f>
        <v>600940</v>
      </c>
      <c r="AD15" s="117"/>
      <c r="AE15" s="117"/>
      <c r="AF15">
        <f>'All Points'!R8</f>
        <v>582776</v>
      </c>
      <c r="AG15">
        <f>'All Points'!S8</f>
        <v>600941</v>
      </c>
    </row>
    <row r="16" spans="1:34">
      <c r="A16" s="29">
        <v>15</v>
      </c>
      <c r="B16">
        <f>'All Points'!D19</f>
        <v>582656</v>
      </c>
      <c r="C16" s="14">
        <f>'All Points'!E19</f>
        <v>600919</v>
      </c>
      <c r="D16">
        <f>'All Points'!D19</f>
        <v>582656</v>
      </c>
      <c r="E16" s="14">
        <f>'All Points'!E19</f>
        <v>600919</v>
      </c>
      <c r="F16">
        <f>'All Points'!D19</f>
        <v>582656</v>
      </c>
      <c r="G16" s="14">
        <f>'All Points'!E19</f>
        <v>600919</v>
      </c>
      <c r="H16">
        <f>'All Points'!D19</f>
        <v>582656</v>
      </c>
      <c r="I16" s="14">
        <f>'All Points'!E19</f>
        <v>600919</v>
      </c>
      <c r="J16">
        <f>'All Points'!D19</f>
        <v>582656</v>
      </c>
      <c r="K16">
        <f>'All Points'!E19</f>
        <v>600919</v>
      </c>
      <c r="L16">
        <f>'All Points'!D19</f>
        <v>582656</v>
      </c>
      <c r="M16">
        <f>'All Points'!E19</f>
        <v>600919</v>
      </c>
      <c r="N16">
        <f>'All Points'!D19</f>
        <v>582656</v>
      </c>
      <c r="O16">
        <f>'All Points'!E19</f>
        <v>600919</v>
      </c>
      <c r="P16">
        <f>'All Points'!K9</f>
        <v>582722</v>
      </c>
      <c r="Q16">
        <f>'All Points'!L9</f>
        <v>600952</v>
      </c>
      <c r="R16">
        <f>'All Points'!K11</f>
        <v>582742</v>
      </c>
      <c r="S16">
        <f>'All Points'!L11</f>
        <v>600948</v>
      </c>
      <c r="T16">
        <f>'All Points'!R7</f>
        <v>582755</v>
      </c>
      <c r="U16">
        <f>'All Points'!S7</f>
        <v>600932</v>
      </c>
      <c r="V16">
        <f>'All Points'!Y7</f>
        <v>582820</v>
      </c>
      <c r="W16">
        <f>'All Points'!Z7</f>
        <v>600920</v>
      </c>
      <c r="AD16" s="117"/>
      <c r="AE16" s="117"/>
      <c r="AF16">
        <f>'All Points'!R9</f>
        <v>582776</v>
      </c>
      <c r="AG16">
        <f>'All Points'!S9</f>
        <v>600918</v>
      </c>
    </row>
    <row r="17" spans="1:33">
      <c r="A17" s="29">
        <v>16</v>
      </c>
      <c r="B17">
        <f>'All Points'!D20</f>
        <v>582684</v>
      </c>
      <c r="C17" s="14">
        <f>'All Points'!E20</f>
        <v>600925</v>
      </c>
      <c r="D17">
        <f>'All Points'!D20</f>
        <v>582684</v>
      </c>
      <c r="E17" s="14">
        <f>'All Points'!E20</f>
        <v>600925</v>
      </c>
      <c r="F17">
        <f>'All Points'!D20</f>
        <v>582684</v>
      </c>
      <c r="G17" s="14">
        <f>'All Points'!E20</f>
        <v>600925</v>
      </c>
      <c r="H17">
        <f>'All Points'!D20</f>
        <v>582684</v>
      </c>
      <c r="I17" s="14">
        <f>'All Points'!E20</f>
        <v>600925</v>
      </c>
      <c r="J17">
        <f>'All Points'!D20</f>
        <v>582684</v>
      </c>
      <c r="K17">
        <f>'All Points'!E20</f>
        <v>600925</v>
      </c>
      <c r="L17">
        <f>'All Points'!D20</f>
        <v>582684</v>
      </c>
      <c r="M17">
        <f>'All Points'!E20</f>
        <v>600925</v>
      </c>
      <c r="N17">
        <f>'All Points'!D20</f>
        <v>582684</v>
      </c>
      <c r="O17">
        <f>'All Points'!E20</f>
        <v>600925</v>
      </c>
      <c r="P17">
        <f>'All Points'!K10</f>
        <v>582719</v>
      </c>
      <c r="Q17">
        <f>'All Points'!L10</f>
        <v>600950</v>
      </c>
      <c r="R17">
        <f>'All Points'!K12</f>
        <v>582727</v>
      </c>
      <c r="S17">
        <f>'All Points'!L12</f>
        <v>600923</v>
      </c>
      <c r="T17">
        <f>'All Points'!R8</f>
        <v>582776</v>
      </c>
      <c r="U17">
        <f>'All Points'!S8</f>
        <v>600941</v>
      </c>
      <c r="V17">
        <f>'All Points'!Y8</f>
        <v>582840</v>
      </c>
      <c r="W17">
        <f>'All Points'!Z8</f>
        <v>600941</v>
      </c>
      <c r="AF17">
        <f>'All Points'!Y5</f>
        <v>582824</v>
      </c>
      <c r="AG17">
        <f>'All Points'!Z5</f>
        <v>600914</v>
      </c>
    </row>
    <row r="18" spans="1:33">
      <c r="A18" s="29">
        <v>17</v>
      </c>
      <c r="B18">
        <f>'All Points'!D21</f>
        <v>582679</v>
      </c>
      <c r="C18" s="14">
        <f>'All Points'!E21</f>
        <v>600927</v>
      </c>
      <c r="D18">
        <f>'All Points'!D21</f>
        <v>582679</v>
      </c>
      <c r="E18" s="14">
        <f>'All Points'!E21</f>
        <v>600927</v>
      </c>
      <c r="F18">
        <f>'All Points'!D21</f>
        <v>582679</v>
      </c>
      <c r="G18" s="14">
        <f>'All Points'!E21</f>
        <v>600927</v>
      </c>
      <c r="H18">
        <f>'All Points'!D21</f>
        <v>582679</v>
      </c>
      <c r="I18" s="14">
        <f>'All Points'!E21</f>
        <v>600927</v>
      </c>
      <c r="J18">
        <f>'All Points'!D21</f>
        <v>582679</v>
      </c>
      <c r="K18">
        <f>'All Points'!E21</f>
        <v>600927</v>
      </c>
      <c r="L18">
        <f>'All Points'!D21</f>
        <v>582679</v>
      </c>
      <c r="M18">
        <f>'All Points'!E21</f>
        <v>600927</v>
      </c>
      <c r="N18">
        <f>'All Points'!D21</f>
        <v>582679</v>
      </c>
      <c r="O18">
        <f>'All Points'!E21</f>
        <v>600927</v>
      </c>
      <c r="P18">
        <f>'All Points'!K11</f>
        <v>582742</v>
      </c>
      <c r="Q18">
        <f>'All Points'!L11</f>
        <v>600948</v>
      </c>
      <c r="R18">
        <f>'All Points'!R5</f>
        <v>582786</v>
      </c>
      <c r="S18">
        <f>'All Points'!S5</f>
        <v>600936</v>
      </c>
      <c r="T18">
        <f>'All Points'!R9</f>
        <v>582776</v>
      </c>
      <c r="U18">
        <f>'All Points'!S9</f>
        <v>600918</v>
      </c>
      <c r="AF18">
        <f>'All Points'!Y6</f>
        <v>582813</v>
      </c>
      <c r="AG18">
        <f>'All Points'!Z6</f>
        <v>600940</v>
      </c>
    </row>
    <row r="19" spans="1:33">
      <c r="A19" s="29">
        <v>18</v>
      </c>
      <c r="B19">
        <f>'All Points'!D22</f>
        <v>582695</v>
      </c>
      <c r="C19" s="14">
        <f>'All Points'!E22</f>
        <v>600922</v>
      </c>
      <c r="D19">
        <f>'All Points'!D22</f>
        <v>582695</v>
      </c>
      <c r="E19" s="14">
        <f>'All Points'!E22</f>
        <v>600922</v>
      </c>
      <c r="F19">
        <f>'All Points'!D22</f>
        <v>582695</v>
      </c>
      <c r="G19" s="14">
        <f>'All Points'!E22</f>
        <v>600922</v>
      </c>
      <c r="H19">
        <f>'All Points'!D22</f>
        <v>582695</v>
      </c>
      <c r="I19" s="14">
        <f>'All Points'!E22</f>
        <v>600922</v>
      </c>
      <c r="J19">
        <f>'All Points'!D22</f>
        <v>582695</v>
      </c>
      <c r="K19">
        <f>'All Points'!E22</f>
        <v>600922</v>
      </c>
      <c r="L19">
        <f>'All Points'!D22</f>
        <v>582695</v>
      </c>
      <c r="M19">
        <f>'All Points'!E22</f>
        <v>600922</v>
      </c>
      <c r="N19">
        <f>'All Points'!D22</f>
        <v>582695</v>
      </c>
      <c r="O19">
        <f>'All Points'!E22</f>
        <v>600922</v>
      </c>
      <c r="P19">
        <f>'All Points'!K12</f>
        <v>582727</v>
      </c>
      <c r="Q19">
        <f>'All Points'!L12</f>
        <v>600923</v>
      </c>
      <c r="R19">
        <f>'All Points'!R6</f>
        <v>582766</v>
      </c>
      <c r="S19">
        <f>'All Points'!S6</f>
        <v>600916</v>
      </c>
      <c r="T19">
        <f>'All Points'!R10</f>
        <v>582758</v>
      </c>
      <c r="U19">
        <f>'All Points'!S10</f>
        <v>600912</v>
      </c>
      <c r="AF19">
        <f>'All Points'!Y7</f>
        <v>582820</v>
      </c>
      <c r="AG19">
        <f>'All Points'!Z7</f>
        <v>600920</v>
      </c>
    </row>
    <row r="20" spans="1:33">
      <c r="A20" s="29">
        <v>19</v>
      </c>
      <c r="B20">
        <f>'All Points'!D23</f>
        <v>582677</v>
      </c>
      <c r="C20" s="14">
        <f>'All Points'!E23</f>
        <v>600953</v>
      </c>
      <c r="D20">
        <f>'All Points'!D23</f>
        <v>582677</v>
      </c>
      <c r="E20" s="14">
        <f>'All Points'!E23</f>
        <v>600953</v>
      </c>
      <c r="F20">
        <f>'All Points'!D23</f>
        <v>582677</v>
      </c>
      <c r="G20" s="14">
        <f>'All Points'!E23</f>
        <v>600953</v>
      </c>
      <c r="H20">
        <f>'All Points'!D23</f>
        <v>582677</v>
      </c>
      <c r="I20" s="14">
        <f>'All Points'!E23</f>
        <v>600953</v>
      </c>
      <c r="J20">
        <f>'All Points'!D23</f>
        <v>582677</v>
      </c>
      <c r="K20">
        <f>'All Points'!E23</f>
        <v>600953</v>
      </c>
      <c r="L20">
        <f>'All Points'!D23</f>
        <v>582677</v>
      </c>
      <c r="M20">
        <f>'All Points'!E23</f>
        <v>600953</v>
      </c>
      <c r="N20">
        <f>'All Points'!D23</f>
        <v>582677</v>
      </c>
      <c r="O20">
        <f>'All Points'!E23</f>
        <v>600953</v>
      </c>
      <c r="P20">
        <f>'All Points'!K13</f>
        <v>582696</v>
      </c>
      <c r="Q20">
        <f>'All Points'!L13</f>
        <v>600939</v>
      </c>
      <c r="R20">
        <f>'All Points'!R7</f>
        <v>582755</v>
      </c>
      <c r="S20">
        <f>'All Points'!S7</f>
        <v>600932</v>
      </c>
      <c r="T20">
        <f>'All Points'!Y5</f>
        <v>582824</v>
      </c>
      <c r="U20">
        <f>'All Points'!Z5</f>
        <v>600914</v>
      </c>
      <c r="AF20">
        <f>'All Points'!Y8</f>
        <v>582840</v>
      </c>
      <c r="AG20">
        <f>'All Points'!Z8</f>
        <v>600941</v>
      </c>
    </row>
    <row r="21" spans="1:33">
      <c r="A21" s="29">
        <v>20</v>
      </c>
      <c r="B21">
        <f>'All Points'!D24</f>
        <v>582650</v>
      </c>
      <c r="C21" s="14">
        <f>'All Points'!E24</f>
        <v>600950</v>
      </c>
      <c r="D21">
        <f>'All Points'!D24</f>
        <v>582650</v>
      </c>
      <c r="E21" s="14">
        <f>'All Points'!E24</f>
        <v>600950</v>
      </c>
      <c r="F21">
        <f>'All Points'!D24</f>
        <v>582650</v>
      </c>
      <c r="G21" s="14">
        <f>'All Points'!E24</f>
        <v>600950</v>
      </c>
      <c r="H21">
        <f>'All Points'!D24</f>
        <v>582650</v>
      </c>
      <c r="I21" s="14">
        <f>'All Points'!E24</f>
        <v>600950</v>
      </c>
      <c r="J21">
        <f>'All Points'!D24</f>
        <v>582650</v>
      </c>
      <c r="K21">
        <f>'All Points'!E24</f>
        <v>600950</v>
      </c>
      <c r="L21">
        <f>'All Points'!D24</f>
        <v>582650</v>
      </c>
      <c r="M21">
        <f>'All Points'!E24</f>
        <v>600950</v>
      </c>
      <c r="N21">
        <f>'All Points'!D24</f>
        <v>582650</v>
      </c>
      <c r="O21">
        <f>'All Points'!E24</f>
        <v>600950</v>
      </c>
      <c r="P21">
        <f>'All Points'!K14</f>
        <v>582731</v>
      </c>
      <c r="Q21">
        <f>'All Points'!L14</f>
        <v>600938</v>
      </c>
      <c r="R21">
        <f>'All Points'!R8</f>
        <v>582776</v>
      </c>
      <c r="S21">
        <f>'All Points'!S8</f>
        <v>600941</v>
      </c>
      <c r="T21">
        <f>'All Points'!Y6</f>
        <v>582813</v>
      </c>
      <c r="U21">
        <f>'All Points'!Z6</f>
        <v>600940</v>
      </c>
      <c r="AF21">
        <f>'All Points'!Y9</f>
        <v>582829</v>
      </c>
      <c r="AG21">
        <f>'All Points'!Z9</f>
        <v>600942</v>
      </c>
    </row>
    <row r="22" spans="1:33">
      <c r="A22" s="29">
        <v>21</v>
      </c>
      <c r="B22">
        <f>'All Points'!D25</f>
        <v>582645</v>
      </c>
      <c r="C22" s="14">
        <f>'All Points'!E25</f>
        <v>600951</v>
      </c>
      <c r="D22">
        <f>'All Points'!D25</f>
        <v>582645</v>
      </c>
      <c r="E22" s="14">
        <f>'All Points'!E25</f>
        <v>600951</v>
      </c>
      <c r="F22">
        <f>'All Points'!D25</f>
        <v>582645</v>
      </c>
      <c r="G22" s="14">
        <f>'All Points'!E25</f>
        <v>600951</v>
      </c>
      <c r="H22">
        <f>'All Points'!D25</f>
        <v>582645</v>
      </c>
      <c r="I22" s="14">
        <f>'All Points'!E25</f>
        <v>600951</v>
      </c>
      <c r="J22">
        <f>'All Points'!D25</f>
        <v>582645</v>
      </c>
      <c r="K22">
        <f>'All Points'!E25</f>
        <v>600951</v>
      </c>
      <c r="L22">
        <f>'All Points'!D25</f>
        <v>582645</v>
      </c>
      <c r="M22">
        <f>'All Points'!E25</f>
        <v>600951</v>
      </c>
      <c r="N22">
        <f>'All Points'!K5</f>
        <v>582707</v>
      </c>
      <c r="O22">
        <f>'All Points'!L5</f>
        <v>600944</v>
      </c>
      <c r="P22">
        <f>'All Points'!R5</f>
        <v>582786</v>
      </c>
      <c r="Q22">
        <f>'All Points'!S5</f>
        <v>600936</v>
      </c>
      <c r="R22">
        <f>'All Points'!R9</f>
        <v>582776</v>
      </c>
      <c r="S22">
        <f>'All Points'!S9</f>
        <v>600918</v>
      </c>
      <c r="T22">
        <f>'All Points'!Y7</f>
        <v>582820</v>
      </c>
      <c r="U22">
        <f>'All Points'!Z7</f>
        <v>600920</v>
      </c>
    </row>
    <row r="23" spans="1:33">
      <c r="A23" s="29">
        <v>22</v>
      </c>
      <c r="B23">
        <f>'All Points'!D26</f>
        <v>582658</v>
      </c>
      <c r="C23" s="14">
        <f>'All Points'!E26</f>
        <v>600924</v>
      </c>
      <c r="D23">
        <f>'All Points'!D26</f>
        <v>582658</v>
      </c>
      <c r="E23" s="14">
        <f>'All Points'!E26</f>
        <v>600924</v>
      </c>
      <c r="F23">
        <f>'All Points'!D26</f>
        <v>582658</v>
      </c>
      <c r="G23" s="14">
        <f>'All Points'!E26</f>
        <v>600924</v>
      </c>
      <c r="H23">
        <f>'All Points'!D26</f>
        <v>582658</v>
      </c>
      <c r="I23" s="14">
        <f>'All Points'!E26</f>
        <v>600924</v>
      </c>
      <c r="J23">
        <f>'All Points'!D26</f>
        <v>582658</v>
      </c>
      <c r="K23">
        <f>'All Points'!E26</f>
        <v>600924</v>
      </c>
      <c r="L23">
        <f>'All Points'!D26</f>
        <v>582658</v>
      </c>
      <c r="M23">
        <f>'All Points'!E26</f>
        <v>600924</v>
      </c>
      <c r="N23">
        <f>'All Points'!K6</f>
        <v>582731</v>
      </c>
      <c r="O23">
        <f>'All Points'!L6</f>
        <v>600917</v>
      </c>
      <c r="P23">
        <f>'All Points'!R6</f>
        <v>582766</v>
      </c>
      <c r="Q23">
        <f>'All Points'!S6</f>
        <v>600916</v>
      </c>
      <c r="R23">
        <f>'All Points'!R10</f>
        <v>582758</v>
      </c>
      <c r="S23">
        <f>'All Points'!S10</f>
        <v>600912</v>
      </c>
      <c r="T23">
        <f>'All Points'!Y8</f>
        <v>582840</v>
      </c>
      <c r="U23">
        <f>'All Points'!Z8</f>
        <v>600941</v>
      </c>
    </row>
    <row r="24" spans="1:33">
      <c r="A24" s="29">
        <v>23</v>
      </c>
      <c r="B24">
        <f>'All Points'!D27</f>
        <v>582693</v>
      </c>
      <c r="C24" s="14">
        <f>'All Points'!E27</f>
        <v>600940</v>
      </c>
      <c r="D24">
        <f>'All Points'!D27</f>
        <v>582693</v>
      </c>
      <c r="E24" s="14">
        <f>'All Points'!E27</f>
        <v>600940</v>
      </c>
      <c r="F24">
        <f>'All Points'!D27</f>
        <v>582693</v>
      </c>
      <c r="G24" s="14">
        <f>'All Points'!E27</f>
        <v>600940</v>
      </c>
      <c r="H24">
        <f>'All Points'!D27</f>
        <v>582693</v>
      </c>
      <c r="I24" s="14">
        <f>'All Points'!E27</f>
        <v>600940</v>
      </c>
      <c r="J24">
        <f>'All Points'!D27</f>
        <v>582693</v>
      </c>
      <c r="K24">
        <f>'All Points'!E27</f>
        <v>600940</v>
      </c>
      <c r="L24">
        <f>'All Points'!D27</f>
        <v>582693</v>
      </c>
      <c r="M24">
        <f>'All Points'!E27</f>
        <v>600940</v>
      </c>
      <c r="N24">
        <f>'All Points'!K7</f>
        <v>582700</v>
      </c>
      <c r="O24">
        <f>'All Points'!L7</f>
        <v>600922</v>
      </c>
      <c r="P24">
        <f>'All Points'!R7</f>
        <v>582755</v>
      </c>
      <c r="Q24">
        <f>'All Points'!S7</f>
        <v>600932</v>
      </c>
      <c r="R24">
        <f>'All Points'!R11</f>
        <v>582765</v>
      </c>
      <c r="S24">
        <f>'All Points'!S11</f>
        <v>600944</v>
      </c>
      <c r="T24">
        <f>'All Points'!Y9</f>
        <v>582829</v>
      </c>
      <c r="U24">
        <f>'All Points'!Z9</f>
        <v>600942</v>
      </c>
    </row>
    <row r="25" spans="1:33">
      <c r="A25" s="29">
        <v>24</v>
      </c>
      <c r="B25">
        <f>'All Points'!D28</f>
        <v>582659</v>
      </c>
      <c r="C25" s="14">
        <f>'All Points'!E28</f>
        <v>600943</v>
      </c>
      <c r="D25">
        <f>'All Points'!D28</f>
        <v>582659</v>
      </c>
      <c r="E25" s="14">
        <f>'All Points'!E28</f>
        <v>600943</v>
      </c>
      <c r="F25">
        <f>'All Points'!D28</f>
        <v>582659</v>
      </c>
      <c r="G25" s="14">
        <f>'All Points'!E28</f>
        <v>600943</v>
      </c>
      <c r="H25">
        <f>'All Points'!D28</f>
        <v>582659</v>
      </c>
      <c r="I25" s="14">
        <f>'All Points'!E28</f>
        <v>600943</v>
      </c>
      <c r="J25">
        <f>'All Points'!D28</f>
        <v>582659</v>
      </c>
      <c r="K25">
        <f>'All Points'!E28</f>
        <v>600943</v>
      </c>
      <c r="L25">
        <f>'All Points'!D28</f>
        <v>582659</v>
      </c>
      <c r="M25">
        <f>'All Points'!E28</f>
        <v>600943</v>
      </c>
      <c r="N25">
        <f>'All Points'!K8</f>
        <v>582729</v>
      </c>
      <c r="O25">
        <f>'All Points'!L8</f>
        <v>600951</v>
      </c>
      <c r="P25">
        <f>'All Points'!R8</f>
        <v>582776</v>
      </c>
      <c r="Q25">
        <f>'All Points'!S8</f>
        <v>600941</v>
      </c>
      <c r="R25">
        <f>'All Points'!R12</f>
        <v>582788</v>
      </c>
      <c r="S25">
        <f>'All Points'!S12</f>
        <v>600943</v>
      </c>
      <c r="T25">
        <f>'All Points'!Y10</f>
        <v>582835</v>
      </c>
      <c r="U25">
        <f>'All Points'!Z10</f>
        <v>600918</v>
      </c>
    </row>
    <row r="26" spans="1:33">
      <c r="A26" s="29">
        <v>25</v>
      </c>
      <c r="B26">
        <f>'All Points'!D29</f>
        <v>582662</v>
      </c>
      <c r="C26" s="14">
        <f>'All Points'!E29</f>
        <v>600935</v>
      </c>
      <c r="D26">
        <f>'All Points'!D29</f>
        <v>582662</v>
      </c>
      <c r="E26" s="14">
        <f>'All Points'!E29</f>
        <v>600935</v>
      </c>
      <c r="F26">
        <f>'All Points'!D29</f>
        <v>582662</v>
      </c>
      <c r="G26" s="14">
        <f>'All Points'!E29</f>
        <v>600935</v>
      </c>
      <c r="H26">
        <f>'All Points'!D29</f>
        <v>582662</v>
      </c>
      <c r="I26" s="14">
        <f>'All Points'!E29</f>
        <v>600935</v>
      </c>
      <c r="J26">
        <f>'All Points'!D29</f>
        <v>582662</v>
      </c>
      <c r="K26">
        <f>'All Points'!E29</f>
        <v>600935</v>
      </c>
      <c r="L26">
        <f>'All Points'!D29</f>
        <v>582662</v>
      </c>
      <c r="M26">
        <f>'All Points'!E29</f>
        <v>600935</v>
      </c>
      <c r="N26">
        <f>'All Points'!K9</f>
        <v>582722</v>
      </c>
      <c r="O26">
        <f>'All Points'!L9</f>
        <v>600952</v>
      </c>
      <c r="P26">
        <f>'All Points'!R9</f>
        <v>582776</v>
      </c>
      <c r="Q26">
        <f>'All Points'!S9</f>
        <v>600918</v>
      </c>
      <c r="R26">
        <f>'All Points'!Y5</f>
        <v>582824</v>
      </c>
      <c r="S26">
        <f>'All Points'!Z5</f>
        <v>600914</v>
      </c>
    </row>
    <row r="27" spans="1:33">
      <c r="A27" s="29">
        <v>26</v>
      </c>
      <c r="B27">
        <f>'All Points'!D30</f>
        <v>582664</v>
      </c>
      <c r="C27" s="14">
        <f>'All Points'!E30</f>
        <v>600941</v>
      </c>
      <c r="D27">
        <f>'All Points'!D30</f>
        <v>582664</v>
      </c>
      <c r="E27" s="14">
        <f>'All Points'!E30</f>
        <v>600941</v>
      </c>
      <c r="F27">
        <f>'All Points'!D30</f>
        <v>582664</v>
      </c>
      <c r="G27" s="14">
        <f>'All Points'!E30</f>
        <v>600941</v>
      </c>
      <c r="H27">
        <f>'All Points'!D30</f>
        <v>582664</v>
      </c>
      <c r="I27" s="14">
        <f>'All Points'!E30</f>
        <v>600941</v>
      </c>
      <c r="J27">
        <f>'All Points'!D30</f>
        <v>582664</v>
      </c>
      <c r="K27">
        <f>'All Points'!E30</f>
        <v>600941</v>
      </c>
      <c r="L27">
        <f>'All Points'!D30</f>
        <v>582664</v>
      </c>
      <c r="M27">
        <f>'All Points'!E30</f>
        <v>600941</v>
      </c>
      <c r="N27">
        <f>'All Points'!K10</f>
        <v>582719</v>
      </c>
      <c r="O27">
        <f>'All Points'!L10</f>
        <v>600950</v>
      </c>
      <c r="P27">
        <f>'All Points'!R10</f>
        <v>582758</v>
      </c>
      <c r="Q27">
        <f>'All Points'!S10</f>
        <v>600912</v>
      </c>
      <c r="R27">
        <f>'All Points'!Y6</f>
        <v>582813</v>
      </c>
      <c r="S27">
        <f>'All Points'!Z6</f>
        <v>600940</v>
      </c>
    </row>
    <row r="28" spans="1:33">
      <c r="A28" s="29">
        <v>27</v>
      </c>
      <c r="B28">
        <f>'All Points'!D31</f>
        <v>582658</v>
      </c>
      <c r="C28" s="14">
        <f>'All Points'!E31</f>
        <v>600935</v>
      </c>
      <c r="D28">
        <f>'All Points'!D31</f>
        <v>582658</v>
      </c>
      <c r="E28" s="14">
        <f>'All Points'!E31</f>
        <v>600935</v>
      </c>
      <c r="F28">
        <f>'All Points'!D31</f>
        <v>582658</v>
      </c>
      <c r="G28" s="14">
        <f>'All Points'!E31</f>
        <v>600935</v>
      </c>
      <c r="H28">
        <f>'All Points'!D31</f>
        <v>582658</v>
      </c>
      <c r="I28" s="14">
        <f>'All Points'!E31</f>
        <v>600935</v>
      </c>
      <c r="J28">
        <f>'All Points'!D31</f>
        <v>582658</v>
      </c>
      <c r="K28">
        <f>'All Points'!E31</f>
        <v>600935</v>
      </c>
      <c r="L28">
        <f>'All Points'!D31</f>
        <v>582658</v>
      </c>
      <c r="M28">
        <f>'All Points'!E31</f>
        <v>600935</v>
      </c>
      <c r="N28">
        <f>'All Points'!K11</f>
        <v>582742</v>
      </c>
      <c r="O28">
        <f>'All Points'!L11</f>
        <v>600948</v>
      </c>
      <c r="P28">
        <f>'All Points'!R11</f>
        <v>582765</v>
      </c>
      <c r="Q28">
        <f>'All Points'!S11</f>
        <v>600944</v>
      </c>
      <c r="R28">
        <f>'All Points'!Y7</f>
        <v>582820</v>
      </c>
      <c r="S28">
        <f>'All Points'!Z7</f>
        <v>600920</v>
      </c>
    </row>
    <row r="29" spans="1:33">
      <c r="A29" s="29">
        <v>28</v>
      </c>
      <c r="B29">
        <f>'All Points'!D32</f>
        <v>582650</v>
      </c>
      <c r="C29" s="14">
        <f>'All Points'!E32</f>
        <v>600954</v>
      </c>
      <c r="D29">
        <f>'All Points'!D32</f>
        <v>582650</v>
      </c>
      <c r="E29" s="14">
        <f>'All Points'!E32</f>
        <v>600954</v>
      </c>
      <c r="F29">
        <f>'All Points'!D32</f>
        <v>582650</v>
      </c>
      <c r="G29" s="14">
        <f>'All Points'!E32</f>
        <v>600954</v>
      </c>
      <c r="H29">
        <f>'All Points'!D32</f>
        <v>582650</v>
      </c>
      <c r="I29" s="14">
        <f>'All Points'!E32</f>
        <v>600954</v>
      </c>
      <c r="J29">
        <f>'All Points'!D32</f>
        <v>582650</v>
      </c>
      <c r="K29">
        <f>'All Points'!E32</f>
        <v>600954</v>
      </c>
      <c r="L29">
        <f>'All Points'!D32</f>
        <v>582650</v>
      </c>
      <c r="M29">
        <f>'All Points'!E32</f>
        <v>600954</v>
      </c>
      <c r="N29">
        <f>'All Points'!K12</f>
        <v>582727</v>
      </c>
      <c r="O29">
        <f>'All Points'!L12</f>
        <v>600923</v>
      </c>
      <c r="P29">
        <f>'All Points'!R12</f>
        <v>582788</v>
      </c>
      <c r="Q29">
        <f>'All Points'!S12</f>
        <v>600943</v>
      </c>
      <c r="R29">
        <f>'All Points'!Y8</f>
        <v>582840</v>
      </c>
      <c r="S29">
        <f>'All Points'!Z8</f>
        <v>600941</v>
      </c>
    </row>
    <row r="30" spans="1:33">
      <c r="A30" s="29">
        <v>29</v>
      </c>
      <c r="B30">
        <f>'All Points'!D33</f>
        <v>582652</v>
      </c>
      <c r="C30" s="14">
        <f>'All Points'!E33</f>
        <v>600931</v>
      </c>
      <c r="D30">
        <f>'All Points'!D33</f>
        <v>582652</v>
      </c>
      <c r="E30" s="14">
        <f>'All Points'!E33</f>
        <v>600931</v>
      </c>
      <c r="F30">
        <f>'All Points'!D33</f>
        <v>582652</v>
      </c>
      <c r="G30" s="14">
        <f>'All Points'!E33</f>
        <v>600931</v>
      </c>
      <c r="H30">
        <f>'All Points'!D33</f>
        <v>582652</v>
      </c>
      <c r="I30" s="14">
        <f>'All Points'!E33</f>
        <v>600931</v>
      </c>
      <c r="J30">
        <f>'All Points'!D33</f>
        <v>582652</v>
      </c>
      <c r="K30">
        <f>'All Points'!E33</f>
        <v>600931</v>
      </c>
      <c r="L30">
        <f>'All Points'!D33</f>
        <v>582652</v>
      </c>
      <c r="M30">
        <f>'All Points'!E33</f>
        <v>600931</v>
      </c>
      <c r="N30">
        <f>'All Points'!K13</f>
        <v>582696</v>
      </c>
      <c r="O30">
        <f>'All Points'!L13</f>
        <v>600939</v>
      </c>
      <c r="P30">
        <f>'All Points'!R13</f>
        <v>582774</v>
      </c>
      <c r="Q30">
        <f>'All Points'!S13</f>
        <v>600913</v>
      </c>
      <c r="R30">
        <f>'All Points'!Y9</f>
        <v>582829</v>
      </c>
      <c r="S30">
        <f>'All Points'!Z9</f>
        <v>600942</v>
      </c>
    </row>
    <row r="31" spans="1:33">
      <c r="A31" s="29">
        <v>30</v>
      </c>
      <c r="B31">
        <f>'All Points'!D34</f>
        <v>582677</v>
      </c>
      <c r="C31" s="14">
        <f>'All Points'!E34</f>
        <v>600951</v>
      </c>
      <c r="D31">
        <f>'All Points'!D34</f>
        <v>582677</v>
      </c>
      <c r="E31" s="14">
        <f>'All Points'!E34</f>
        <v>600951</v>
      </c>
      <c r="F31">
        <f>'All Points'!D34</f>
        <v>582677</v>
      </c>
      <c r="G31" s="14">
        <f>'All Points'!E34</f>
        <v>600951</v>
      </c>
      <c r="H31">
        <f>'All Points'!D34</f>
        <v>582677</v>
      </c>
      <c r="I31" s="14">
        <f>'All Points'!E34</f>
        <v>600951</v>
      </c>
      <c r="J31">
        <f>'All Points'!D34</f>
        <v>582677</v>
      </c>
      <c r="K31">
        <f>'All Points'!E34</f>
        <v>600951</v>
      </c>
      <c r="L31">
        <f>'All Points'!D34</f>
        <v>582677</v>
      </c>
      <c r="M31">
        <f>'All Points'!E34</f>
        <v>600951</v>
      </c>
      <c r="N31">
        <f>'All Points'!K14</f>
        <v>582731</v>
      </c>
      <c r="O31">
        <f>'All Points'!L14</f>
        <v>600938</v>
      </c>
      <c r="P31">
        <f>'All Points'!R14</f>
        <v>582786</v>
      </c>
      <c r="Q31">
        <f>'All Points'!S14</f>
        <v>600915</v>
      </c>
      <c r="R31">
        <f>'All Points'!Y10</f>
        <v>582835</v>
      </c>
      <c r="S31">
        <f>'All Points'!Z10</f>
        <v>600918</v>
      </c>
    </row>
    <row r="32" spans="1:33">
      <c r="A32" s="29">
        <v>31</v>
      </c>
      <c r="B32">
        <f>'All Points'!D35</f>
        <v>582678</v>
      </c>
      <c r="C32" s="14">
        <f>'All Points'!E35</f>
        <v>600926</v>
      </c>
      <c r="D32">
        <f>'All Points'!D35</f>
        <v>582678</v>
      </c>
      <c r="E32" s="14">
        <f>'All Points'!E35</f>
        <v>600926</v>
      </c>
      <c r="F32">
        <f>'All Points'!D35</f>
        <v>582678</v>
      </c>
      <c r="G32" s="14">
        <f>'All Points'!E35</f>
        <v>600926</v>
      </c>
      <c r="H32">
        <f>'All Points'!D35</f>
        <v>582678</v>
      </c>
      <c r="I32" s="14">
        <f>'All Points'!E35</f>
        <v>600926</v>
      </c>
      <c r="J32">
        <f>'All Points'!D35</f>
        <v>582678</v>
      </c>
      <c r="K32">
        <f>'All Points'!E35</f>
        <v>600926</v>
      </c>
      <c r="L32">
        <f>'All Points'!K5</f>
        <v>582707</v>
      </c>
      <c r="M32">
        <f>'All Points'!L5</f>
        <v>600944</v>
      </c>
      <c r="N32">
        <f>'All Points'!K15</f>
        <v>582694</v>
      </c>
      <c r="O32">
        <f>'All Points'!L15</f>
        <v>600938</v>
      </c>
      <c r="P32">
        <f>'All Points'!Y5</f>
        <v>582824</v>
      </c>
      <c r="Q32">
        <f>'All Points'!Z5</f>
        <v>600914</v>
      </c>
      <c r="R32">
        <f>'All Points'!Y11</f>
        <v>582830</v>
      </c>
      <c r="S32">
        <f>'All Points'!Z11</f>
        <v>600932</v>
      </c>
    </row>
    <row r="33" spans="1:19">
      <c r="A33" s="29">
        <v>32</v>
      </c>
      <c r="B33">
        <f>'All Points'!D36</f>
        <v>582679</v>
      </c>
      <c r="C33" s="14">
        <f>'All Points'!E36</f>
        <v>600955</v>
      </c>
      <c r="D33">
        <f>'All Points'!D36</f>
        <v>582679</v>
      </c>
      <c r="E33" s="14">
        <f>'All Points'!E36</f>
        <v>600955</v>
      </c>
      <c r="F33">
        <f>'All Points'!D36</f>
        <v>582679</v>
      </c>
      <c r="G33" s="14">
        <f>'All Points'!E36</f>
        <v>600955</v>
      </c>
      <c r="H33">
        <f>'All Points'!D36</f>
        <v>582679</v>
      </c>
      <c r="I33" s="14">
        <f>'All Points'!E36</f>
        <v>600955</v>
      </c>
      <c r="J33">
        <f>'All Points'!D36</f>
        <v>582679</v>
      </c>
      <c r="K33">
        <f>'All Points'!E36</f>
        <v>600955</v>
      </c>
      <c r="L33">
        <f>'All Points'!K6</f>
        <v>582731</v>
      </c>
      <c r="M33">
        <f>'All Points'!L6</f>
        <v>600917</v>
      </c>
      <c r="N33">
        <f>'All Points'!K16</f>
        <v>582719</v>
      </c>
      <c r="O33">
        <f>'All Points'!L16</f>
        <v>600952</v>
      </c>
      <c r="P33">
        <f>'All Points'!Y6</f>
        <v>582813</v>
      </c>
      <c r="Q33">
        <f>'All Points'!Z6</f>
        <v>600940</v>
      </c>
      <c r="R33">
        <f>'All Points'!Y12</f>
        <v>582845</v>
      </c>
      <c r="S33">
        <f>'All Points'!Z12</f>
        <v>600911</v>
      </c>
    </row>
    <row r="34" spans="1:19">
      <c r="A34" s="29">
        <v>33</v>
      </c>
      <c r="B34">
        <f>'All Points'!D37</f>
        <v>582659</v>
      </c>
      <c r="C34" s="14">
        <f>'All Points'!E37</f>
        <v>600920</v>
      </c>
      <c r="D34">
        <f>'All Points'!D37</f>
        <v>582659</v>
      </c>
      <c r="E34" s="14">
        <f>'All Points'!E37</f>
        <v>600920</v>
      </c>
      <c r="F34">
        <f>'All Points'!D37</f>
        <v>582659</v>
      </c>
      <c r="G34" s="14">
        <f>'All Points'!E37</f>
        <v>600920</v>
      </c>
      <c r="H34">
        <f>'All Points'!D37</f>
        <v>582659</v>
      </c>
      <c r="I34" s="14">
        <f>'All Points'!E37</f>
        <v>600920</v>
      </c>
      <c r="J34">
        <f>'All Points'!D37</f>
        <v>582659</v>
      </c>
      <c r="K34">
        <f>'All Points'!E37</f>
        <v>600920</v>
      </c>
      <c r="L34">
        <f>'All Points'!K7</f>
        <v>582700</v>
      </c>
      <c r="M34">
        <f>'All Points'!L7</f>
        <v>600922</v>
      </c>
      <c r="N34">
        <f>'All Points'!K17</f>
        <v>582706</v>
      </c>
      <c r="O34">
        <f>'All Points'!L17</f>
        <v>600925</v>
      </c>
      <c r="P34">
        <f>'All Points'!Y7</f>
        <v>582820</v>
      </c>
      <c r="Q34">
        <f>'All Points'!Z7</f>
        <v>600920</v>
      </c>
    </row>
    <row r="35" spans="1:19">
      <c r="A35" s="29">
        <v>34</v>
      </c>
      <c r="B35">
        <f>'All Points'!D38</f>
        <v>582654</v>
      </c>
      <c r="C35" s="14">
        <f>'All Points'!E38</f>
        <v>600939</v>
      </c>
      <c r="D35">
        <f>'All Points'!D38</f>
        <v>582654</v>
      </c>
      <c r="E35" s="14">
        <f>'All Points'!E38</f>
        <v>600939</v>
      </c>
      <c r="F35">
        <f>'All Points'!D38</f>
        <v>582654</v>
      </c>
      <c r="G35" s="14">
        <f>'All Points'!E38</f>
        <v>600939</v>
      </c>
      <c r="H35">
        <f>'All Points'!D38</f>
        <v>582654</v>
      </c>
      <c r="I35" s="14">
        <f>'All Points'!E38</f>
        <v>600939</v>
      </c>
      <c r="J35">
        <f>'All Points'!D38</f>
        <v>582654</v>
      </c>
      <c r="K35">
        <f>'All Points'!E38</f>
        <v>600939</v>
      </c>
      <c r="L35">
        <f>'All Points'!K8</f>
        <v>582729</v>
      </c>
      <c r="M35">
        <f>'All Points'!L8</f>
        <v>600951</v>
      </c>
      <c r="N35">
        <f>'All Points'!K18</f>
        <v>582736</v>
      </c>
      <c r="O35">
        <f>'All Points'!L18</f>
        <v>600936</v>
      </c>
      <c r="P35">
        <f>'All Points'!Y8</f>
        <v>582840</v>
      </c>
      <c r="Q35">
        <f>'All Points'!Z8</f>
        <v>600941</v>
      </c>
    </row>
    <row r="36" spans="1:19">
      <c r="A36" s="29">
        <v>35</v>
      </c>
      <c r="B36">
        <f>'All Points'!D39</f>
        <v>582685</v>
      </c>
      <c r="C36" s="14">
        <f>'All Points'!E39</f>
        <v>600938</v>
      </c>
      <c r="D36">
        <f>'All Points'!D39</f>
        <v>582685</v>
      </c>
      <c r="E36" s="14">
        <f>'All Points'!E39</f>
        <v>600938</v>
      </c>
      <c r="F36">
        <f>'All Points'!D39</f>
        <v>582685</v>
      </c>
      <c r="G36" s="14">
        <f>'All Points'!E39</f>
        <v>600938</v>
      </c>
      <c r="H36">
        <f>'All Points'!D39</f>
        <v>582685</v>
      </c>
      <c r="I36" s="14">
        <f>'All Points'!E39</f>
        <v>600938</v>
      </c>
      <c r="J36">
        <f>'All Points'!D39</f>
        <v>582685</v>
      </c>
      <c r="K36">
        <f>'All Points'!E39</f>
        <v>600938</v>
      </c>
      <c r="L36">
        <f>'All Points'!K9</f>
        <v>582722</v>
      </c>
      <c r="M36">
        <f>'All Points'!L9</f>
        <v>600952</v>
      </c>
      <c r="N36">
        <f>'All Points'!K19</f>
        <v>582736</v>
      </c>
      <c r="O36">
        <f>'All Points'!L19</f>
        <v>600941</v>
      </c>
      <c r="P36">
        <f>'All Points'!Y9</f>
        <v>582829</v>
      </c>
      <c r="Q36">
        <f>'All Points'!Z9</f>
        <v>600942</v>
      </c>
    </row>
    <row r="37" spans="1:19">
      <c r="A37" s="29">
        <v>36</v>
      </c>
      <c r="B37">
        <f>'All Points'!D40</f>
        <v>582658</v>
      </c>
      <c r="C37" s="14">
        <f>'All Points'!E40</f>
        <v>600932</v>
      </c>
      <c r="D37">
        <f>'All Points'!D40</f>
        <v>582658</v>
      </c>
      <c r="E37" s="14">
        <f>'All Points'!E40</f>
        <v>600932</v>
      </c>
      <c r="F37">
        <f>'All Points'!D40</f>
        <v>582658</v>
      </c>
      <c r="G37" s="14">
        <f>'All Points'!E40</f>
        <v>600932</v>
      </c>
      <c r="H37">
        <f>'All Points'!D40</f>
        <v>582658</v>
      </c>
      <c r="I37" s="14">
        <f>'All Points'!E40</f>
        <v>600932</v>
      </c>
      <c r="J37">
        <f>'All Points'!D40</f>
        <v>582658</v>
      </c>
      <c r="K37">
        <f>'All Points'!E40</f>
        <v>600932</v>
      </c>
      <c r="L37">
        <f>'All Points'!K10</f>
        <v>582719</v>
      </c>
      <c r="M37">
        <f>'All Points'!L10</f>
        <v>600950</v>
      </c>
      <c r="N37">
        <f>'All Points'!K20</f>
        <v>582695</v>
      </c>
      <c r="O37">
        <f>'All Points'!L20</f>
        <v>600940</v>
      </c>
      <c r="P37">
        <f>'All Points'!Y10</f>
        <v>582835</v>
      </c>
      <c r="Q37">
        <f>'All Points'!Z10</f>
        <v>600918</v>
      </c>
    </row>
    <row r="38" spans="1:19">
      <c r="A38" s="29">
        <v>37</v>
      </c>
      <c r="B38">
        <f>'All Points'!D41</f>
        <v>582661</v>
      </c>
      <c r="C38" s="14">
        <f>'All Points'!E41</f>
        <v>600936</v>
      </c>
      <c r="D38">
        <f>'All Points'!D41</f>
        <v>582661</v>
      </c>
      <c r="E38" s="14">
        <f>'All Points'!E41</f>
        <v>600936</v>
      </c>
      <c r="F38">
        <f>'All Points'!D41</f>
        <v>582661</v>
      </c>
      <c r="G38" s="14">
        <f>'All Points'!E41</f>
        <v>600936</v>
      </c>
      <c r="H38">
        <f>'All Points'!D41</f>
        <v>582661</v>
      </c>
      <c r="I38" s="14">
        <f>'All Points'!E41</f>
        <v>600936</v>
      </c>
      <c r="J38">
        <f>'All Points'!D41</f>
        <v>582661</v>
      </c>
      <c r="K38">
        <f>'All Points'!E41</f>
        <v>600936</v>
      </c>
      <c r="L38">
        <f>'All Points'!K11</f>
        <v>582742</v>
      </c>
      <c r="M38">
        <f>'All Points'!L11</f>
        <v>600948</v>
      </c>
      <c r="N38">
        <f>'All Points'!K21</f>
        <v>582738</v>
      </c>
      <c r="O38">
        <f>'All Points'!L21</f>
        <v>600951</v>
      </c>
      <c r="P38">
        <f>'All Points'!Y11</f>
        <v>582830</v>
      </c>
      <c r="Q38">
        <f>'All Points'!Z11</f>
        <v>600932</v>
      </c>
    </row>
    <row r="39" spans="1:19">
      <c r="A39" s="29">
        <v>38</v>
      </c>
      <c r="B39">
        <f>'All Points'!D42</f>
        <v>582692</v>
      </c>
      <c r="C39" s="14">
        <f>'All Points'!E42</f>
        <v>600923</v>
      </c>
      <c r="D39">
        <f>'All Points'!D42</f>
        <v>582692</v>
      </c>
      <c r="E39" s="14">
        <f>'All Points'!E42</f>
        <v>600923</v>
      </c>
      <c r="F39">
        <f>'All Points'!D42</f>
        <v>582692</v>
      </c>
      <c r="G39" s="14">
        <f>'All Points'!E42</f>
        <v>600923</v>
      </c>
      <c r="H39">
        <f>'All Points'!D42</f>
        <v>582692</v>
      </c>
      <c r="I39" s="14">
        <f>'All Points'!E42</f>
        <v>600923</v>
      </c>
      <c r="J39">
        <f>'All Points'!D42</f>
        <v>582692</v>
      </c>
      <c r="K39">
        <f>'All Points'!E42</f>
        <v>600923</v>
      </c>
      <c r="L39">
        <f>'All Points'!K12</f>
        <v>582727</v>
      </c>
      <c r="M39">
        <f>'All Points'!L12</f>
        <v>600923</v>
      </c>
      <c r="N39">
        <f>'All Points'!K22</f>
        <v>582695</v>
      </c>
      <c r="O39">
        <f>'All Points'!L22</f>
        <v>600938</v>
      </c>
      <c r="P39">
        <f>'All Points'!Y12</f>
        <v>582845</v>
      </c>
      <c r="Q39">
        <f>'All Points'!Z12</f>
        <v>600911</v>
      </c>
    </row>
    <row r="40" spans="1:19">
      <c r="A40" s="29">
        <v>39</v>
      </c>
      <c r="B40">
        <f>'All Points'!D43</f>
        <v>582674</v>
      </c>
      <c r="C40" s="14">
        <f>'All Points'!E43</f>
        <v>600950</v>
      </c>
      <c r="D40">
        <f>'All Points'!D43</f>
        <v>582674</v>
      </c>
      <c r="E40" s="14">
        <f>'All Points'!E43</f>
        <v>600950</v>
      </c>
      <c r="F40">
        <f>'All Points'!D43</f>
        <v>582674</v>
      </c>
      <c r="G40" s="14">
        <f>'All Points'!E43</f>
        <v>600950</v>
      </c>
      <c r="H40">
        <f>'All Points'!D43</f>
        <v>582674</v>
      </c>
      <c r="I40" s="14">
        <f>'All Points'!E43</f>
        <v>600950</v>
      </c>
      <c r="J40">
        <f>'All Points'!D43</f>
        <v>582674</v>
      </c>
      <c r="K40">
        <f>'All Points'!E43</f>
        <v>600950</v>
      </c>
      <c r="L40">
        <f>'All Points'!K13</f>
        <v>582696</v>
      </c>
      <c r="M40">
        <f>'All Points'!L13</f>
        <v>600939</v>
      </c>
      <c r="N40">
        <f>'All Points'!K23</f>
        <v>582719</v>
      </c>
      <c r="O40">
        <f>'All Points'!L23</f>
        <v>600946</v>
      </c>
      <c r="P40">
        <f>'All Points'!Y13</f>
        <v>582825</v>
      </c>
      <c r="Q40">
        <f>'All Points'!Z13</f>
        <v>600933</v>
      </c>
    </row>
    <row r="41" spans="1:19">
      <c r="A41" s="29">
        <v>40</v>
      </c>
      <c r="B41">
        <f>'All Points'!D44</f>
        <v>582654</v>
      </c>
      <c r="C41" s="14">
        <f>'All Points'!E44</f>
        <v>600919</v>
      </c>
      <c r="D41">
        <f>'All Points'!D44</f>
        <v>582654</v>
      </c>
      <c r="E41" s="14">
        <f>'All Points'!E44</f>
        <v>600919</v>
      </c>
      <c r="F41">
        <f>'All Points'!D44</f>
        <v>582654</v>
      </c>
      <c r="G41" s="14">
        <f>'All Points'!E44</f>
        <v>600919</v>
      </c>
      <c r="H41">
        <f>'All Points'!D44</f>
        <v>582654</v>
      </c>
      <c r="I41" s="14">
        <f>'All Points'!E44</f>
        <v>600919</v>
      </c>
      <c r="J41">
        <f>'All Points'!D44</f>
        <v>582654</v>
      </c>
      <c r="K41">
        <f>'All Points'!E44</f>
        <v>600919</v>
      </c>
      <c r="L41">
        <f>'All Points'!K14</f>
        <v>582731</v>
      </c>
      <c r="M41">
        <f>'All Points'!L14</f>
        <v>600938</v>
      </c>
      <c r="N41">
        <f>'All Points'!K24</f>
        <v>582712</v>
      </c>
      <c r="O41">
        <f>'All Points'!L24</f>
        <v>600922</v>
      </c>
      <c r="P41">
        <f>'All Points'!Y14</f>
        <v>582796</v>
      </c>
      <c r="Q41">
        <f>'All Points'!Z14</f>
        <v>600912</v>
      </c>
    </row>
    <row r="42" spans="1:19">
      <c r="A42" s="29">
        <v>41</v>
      </c>
      <c r="B42">
        <f>'All Points'!D45</f>
        <v>582650</v>
      </c>
      <c r="C42" s="14">
        <f>'All Points'!E45</f>
        <v>600943</v>
      </c>
      <c r="D42">
        <f>'All Points'!D45</f>
        <v>582650</v>
      </c>
      <c r="E42" s="14">
        <f>'All Points'!E45</f>
        <v>600943</v>
      </c>
      <c r="F42">
        <f>'All Points'!D45</f>
        <v>582650</v>
      </c>
      <c r="G42" s="14">
        <f>'All Points'!E45</f>
        <v>600943</v>
      </c>
      <c r="H42">
        <f>'All Points'!D45</f>
        <v>582650</v>
      </c>
      <c r="I42" s="14">
        <f>'All Points'!E45</f>
        <v>600943</v>
      </c>
      <c r="J42">
        <f>'All Points'!K5</f>
        <v>582707</v>
      </c>
      <c r="K42">
        <f>'All Points'!L5</f>
        <v>600944</v>
      </c>
      <c r="L42">
        <f>'All Points'!K15</f>
        <v>582694</v>
      </c>
      <c r="M42">
        <f>'All Points'!L15</f>
        <v>600938</v>
      </c>
      <c r="N42">
        <f>'All Points'!R5</f>
        <v>582786</v>
      </c>
      <c r="O42">
        <f>'All Points'!S5</f>
        <v>600936</v>
      </c>
    </row>
    <row r="43" spans="1:19">
      <c r="A43" s="29">
        <v>42</v>
      </c>
      <c r="B43">
        <f>'All Points'!D46</f>
        <v>582653</v>
      </c>
      <c r="C43" s="14">
        <f>'All Points'!E46</f>
        <v>600932</v>
      </c>
      <c r="D43">
        <f>'All Points'!D46</f>
        <v>582653</v>
      </c>
      <c r="E43" s="14">
        <f>'All Points'!E46</f>
        <v>600932</v>
      </c>
      <c r="F43">
        <f>'All Points'!D46</f>
        <v>582653</v>
      </c>
      <c r="G43" s="14">
        <f>'All Points'!E46</f>
        <v>600932</v>
      </c>
      <c r="H43">
        <f>'All Points'!D46</f>
        <v>582653</v>
      </c>
      <c r="I43" s="14">
        <f>'All Points'!E46</f>
        <v>600932</v>
      </c>
      <c r="J43">
        <f>'All Points'!K6</f>
        <v>582731</v>
      </c>
      <c r="K43">
        <f>'All Points'!L6</f>
        <v>600917</v>
      </c>
      <c r="L43">
        <f>'All Points'!K16</f>
        <v>582719</v>
      </c>
      <c r="M43">
        <f>'All Points'!L16</f>
        <v>600952</v>
      </c>
      <c r="N43">
        <f>'All Points'!R6</f>
        <v>582766</v>
      </c>
      <c r="O43">
        <f>'All Points'!S6</f>
        <v>600916</v>
      </c>
    </row>
    <row r="44" spans="1:19">
      <c r="A44" s="29">
        <v>43</v>
      </c>
      <c r="B44">
        <f>'All Points'!D47</f>
        <v>582654</v>
      </c>
      <c r="C44" s="14">
        <f>'All Points'!E47</f>
        <v>600934</v>
      </c>
      <c r="D44">
        <f>'All Points'!D47</f>
        <v>582654</v>
      </c>
      <c r="E44" s="14">
        <f>'All Points'!E47</f>
        <v>600934</v>
      </c>
      <c r="F44">
        <f>'All Points'!D47</f>
        <v>582654</v>
      </c>
      <c r="G44" s="14">
        <f>'All Points'!E47</f>
        <v>600934</v>
      </c>
      <c r="H44">
        <f>'All Points'!D47</f>
        <v>582654</v>
      </c>
      <c r="I44" s="14">
        <f>'All Points'!E47</f>
        <v>600934</v>
      </c>
      <c r="J44">
        <f>'All Points'!K7</f>
        <v>582700</v>
      </c>
      <c r="K44">
        <f>'All Points'!L7</f>
        <v>600922</v>
      </c>
      <c r="L44">
        <f>'All Points'!K17</f>
        <v>582706</v>
      </c>
      <c r="M44">
        <f>'All Points'!L17</f>
        <v>600925</v>
      </c>
      <c r="N44">
        <f>'All Points'!R7</f>
        <v>582755</v>
      </c>
      <c r="O44">
        <f>'All Points'!S7</f>
        <v>600932</v>
      </c>
    </row>
    <row r="45" spans="1:19">
      <c r="A45" s="29">
        <v>44</v>
      </c>
      <c r="B45">
        <f>'All Points'!D48</f>
        <v>582652</v>
      </c>
      <c r="C45" s="14">
        <f>'All Points'!E48</f>
        <v>600921</v>
      </c>
      <c r="D45">
        <f>'All Points'!D48</f>
        <v>582652</v>
      </c>
      <c r="E45" s="14">
        <f>'All Points'!E48</f>
        <v>600921</v>
      </c>
      <c r="F45">
        <f>'All Points'!D48</f>
        <v>582652</v>
      </c>
      <c r="G45" s="14">
        <f>'All Points'!E48</f>
        <v>600921</v>
      </c>
      <c r="H45">
        <f>'All Points'!D48</f>
        <v>582652</v>
      </c>
      <c r="I45" s="14">
        <f>'All Points'!E48</f>
        <v>600921</v>
      </c>
      <c r="J45">
        <f>'All Points'!K8</f>
        <v>582729</v>
      </c>
      <c r="K45">
        <f>'All Points'!L8</f>
        <v>600951</v>
      </c>
      <c r="L45">
        <f>'All Points'!K18</f>
        <v>582736</v>
      </c>
      <c r="M45">
        <f>'All Points'!L18</f>
        <v>600936</v>
      </c>
      <c r="N45">
        <f>'All Points'!R8</f>
        <v>582776</v>
      </c>
      <c r="O45">
        <f>'All Points'!S8</f>
        <v>600941</v>
      </c>
    </row>
    <row r="46" spans="1:19">
      <c r="A46" s="29">
        <v>45</v>
      </c>
      <c r="B46">
        <f>'All Points'!D49</f>
        <v>582677</v>
      </c>
      <c r="C46" s="14">
        <f>'All Points'!E49</f>
        <v>600941</v>
      </c>
      <c r="D46">
        <f>'All Points'!D49</f>
        <v>582677</v>
      </c>
      <c r="E46" s="14">
        <f>'All Points'!E49</f>
        <v>600941</v>
      </c>
      <c r="F46">
        <f>'All Points'!D49</f>
        <v>582677</v>
      </c>
      <c r="G46" s="14">
        <f>'All Points'!E49</f>
        <v>600941</v>
      </c>
      <c r="H46">
        <f>'All Points'!D49</f>
        <v>582677</v>
      </c>
      <c r="I46" s="14">
        <f>'All Points'!E49</f>
        <v>600941</v>
      </c>
      <c r="J46">
        <f>'All Points'!K9</f>
        <v>582722</v>
      </c>
      <c r="K46">
        <f>'All Points'!L9</f>
        <v>600952</v>
      </c>
      <c r="L46">
        <f>'All Points'!K19</f>
        <v>582736</v>
      </c>
      <c r="M46">
        <f>'All Points'!L19</f>
        <v>600941</v>
      </c>
      <c r="N46">
        <f>'All Points'!R9</f>
        <v>582776</v>
      </c>
      <c r="O46">
        <f>'All Points'!S9</f>
        <v>600918</v>
      </c>
    </row>
    <row r="47" spans="1:19">
      <c r="A47" s="29">
        <v>46</v>
      </c>
      <c r="B47">
        <f>'All Points'!D50</f>
        <v>582681</v>
      </c>
      <c r="C47" s="14">
        <f>'All Points'!E50</f>
        <v>600932</v>
      </c>
      <c r="D47">
        <f>'All Points'!D50</f>
        <v>582681</v>
      </c>
      <c r="E47" s="14">
        <f>'All Points'!E50</f>
        <v>600932</v>
      </c>
      <c r="F47">
        <f>'All Points'!D50</f>
        <v>582681</v>
      </c>
      <c r="G47" s="14">
        <f>'All Points'!E50</f>
        <v>600932</v>
      </c>
      <c r="H47">
        <f>'All Points'!D50</f>
        <v>582681</v>
      </c>
      <c r="I47" s="14">
        <f>'All Points'!E50</f>
        <v>600932</v>
      </c>
      <c r="J47">
        <f>'All Points'!K10</f>
        <v>582719</v>
      </c>
      <c r="K47">
        <f>'All Points'!L10</f>
        <v>600950</v>
      </c>
      <c r="L47">
        <f>'All Points'!K20</f>
        <v>582695</v>
      </c>
      <c r="M47">
        <f>'All Points'!L20</f>
        <v>600940</v>
      </c>
      <c r="N47">
        <f>'All Points'!R10</f>
        <v>582758</v>
      </c>
      <c r="O47">
        <f>'All Points'!S10</f>
        <v>600912</v>
      </c>
    </row>
    <row r="48" spans="1:19">
      <c r="A48" s="29">
        <v>47</v>
      </c>
      <c r="B48">
        <f>'All Points'!D51</f>
        <v>582675</v>
      </c>
      <c r="C48" s="14">
        <f>'All Points'!E51</f>
        <v>600949</v>
      </c>
      <c r="D48">
        <f>'All Points'!D51</f>
        <v>582675</v>
      </c>
      <c r="E48" s="14">
        <f>'All Points'!E51</f>
        <v>600949</v>
      </c>
      <c r="F48">
        <f>'All Points'!D51</f>
        <v>582675</v>
      </c>
      <c r="G48" s="14">
        <f>'All Points'!E51</f>
        <v>600949</v>
      </c>
      <c r="H48">
        <f>'All Points'!D51</f>
        <v>582675</v>
      </c>
      <c r="I48" s="14">
        <f>'All Points'!E51</f>
        <v>600949</v>
      </c>
      <c r="J48">
        <f>'All Points'!K11</f>
        <v>582742</v>
      </c>
      <c r="K48">
        <f>'All Points'!L11</f>
        <v>600948</v>
      </c>
      <c r="L48">
        <f>'All Points'!K21</f>
        <v>582738</v>
      </c>
      <c r="M48">
        <f>'All Points'!L21</f>
        <v>600951</v>
      </c>
      <c r="N48">
        <f>'All Points'!R11</f>
        <v>582765</v>
      </c>
      <c r="O48">
        <f>'All Points'!S11</f>
        <v>600944</v>
      </c>
    </row>
    <row r="49" spans="1:17">
      <c r="A49" s="29">
        <v>48</v>
      </c>
      <c r="B49">
        <f>'All Points'!D52</f>
        <v>582665</v>
      </c>
      <c r="C49" s="14">
        <f>'All Points'!E52</f>
        <v>600923</v>
      </c>
      <c r="D49">
        <f>'All Points'!D52</f>
        <v>582665</v>
      </c>
      <c r="E49" s="14">
        <f>'All Points'!E52</f>
        <v>600923</v>
      </c>
      <c r="F49">
        <f>'All Points'!D52</f>
        <v>582665</v>
      </c>
      <c r="G49" s="14">
        <f>'All Points'!E52</f>
        <v>600923</v>
      </c>
      <c r="H49">
        <f>'All Points'!D52</f>
        <v>582665</v>
      </c>
      <c r="I49" s="14">
        <f>'All Points'!E52</f>
        <v>600923</v>
      </c>
      <c r="J49">
        <f>'All Points'!K12</f>
        <v>582727</v>
      </c>
      <c r="K49">
        <f>'All Points'!L12</f>
        <v>600923</v>
      </c>
      <c r="L49">
        <f>'All Points'!K22</f>
        <v>582695</v>
      </c>
      <c r="M49">
        <f>'All Points'!L22</f>
        <v>600938</v>
      </c>
      <c r="N49">
        <f>'All Points'!R12</f>
        <v>582788</v>
      </c>
      <c r="O49">
        <f>'All Points'!S12</f>
        <v>600943</v>
      </c>
    </row>
    <row r="50" spans="1:17">
      <c r="A50" s="29">
        <v>49</v>
      </c>
      <c r="B50">
        <f>'All Points'!D53</f>
        <v>582695</v>
      </c>
      <c r="C50" s="14">
        <f>'All Points'!E53</f>
        <v>600920</v>
      </c>
      <c r="D50">
        <f>'All Points'!D53</f>
        <v>582695</v>
      </c>
      <c r="E50" s="14">
        <f>'All Points'!E53</f>
        <v>600920</v>
      </c>
      <c r="F50">
        <f>'All Points'!D53</f>
        <v>582695</v>
      </c>
      <c r="G50" s="14">
        <f>'All Points'!E53</f>
        <v>600920</v>
      </c>
      <c r="H50">
        <f>'All Points'!D53</f>
        <v>582695</v>
      </c>
      <c r="I50" s="14">
        <f>'All Points'!E53</f>
        <v>600920</v>
      </c>
      <c r="J50">
        <f>'All Points'!K13</f>
        <v>582696</v>
      </c>
      <c r="K50">
        <f>'All Points'!L13</f>
        <v>600939</v>
      </c>
      <c r="L50">
        <f>'All Points'!K23</f>
        <v>582719</v>
      </c>
      <c r="M50">
        <f>'All Points'!L23</f>
        <v>600946</v>
      </c>
      <c r="N50">
        <f>'All Points'!R13</f>
        <v>582774</v>
      </c>
      <c r="O50">
        <f>'All Points'!S13</f>
        <v>600913</v>
      </c>
    </row>
    <row r="51" spans="1:17">
      <c r="A51" s="29">
        <v>50</v>
      </c>
      <c r="B51">
        <f>'All Points'!D54</f>
        <v>582649</v>
      </c>
      <c r="C51" s="14">
        <f>'All Points'!E54</f>
        <v>600925</v>
      </c>
      <c r="D51">
        <f>'All Points'!D54</f>
        <v>582649</v>
      </c>
      <c r="E51" s="14">
        <f>'All Points'!E54</f>
        <v>600925</v>
      </c>
      <c r="F51">
        <f>'All Points'!D54</f>
        <v>582649</v>
      </c>
      <c r="G51" s="14">
        <f>'All Points'!E54</f>
        <v>600925</v>
      </c>
      <c r="H51">
        <f>'All Points'!D54</f>
        <v>582649</v>
      </c>
      <c r="I51" s="14">
        <f>'All Points'!E54</f>
        <v>600925</v>
      </c>
      <c r="J51">
        <f>'All Points'!K14</f>
        <v>582731</v>
      </c>
      <c r="K51">
        <f>'All Points'!L14</f>
        <v>600938</v>
      </c>
      <c r="L51">
        <f>'All Points'!K24</f>
        <v>582712</v>
      </c>
      <c r="M51">
        <f>'All Points'!L24</f>
        <v>600922</v>
      </c>
      <c r="N51">
        <f>'All Points'!R14</f>
        <v>582786</v>
      </c>
      <c r="O51">
        <f>'All Points'!S14</f>
        <v>600915</v>
      </c>
    </row>
    <row r="52" spans="1:17">
      <c r="A52" s="29">
        <v>51</v>
      </c>
      <c r="B52">
        <f>'All Points'!D55</f>
        <v>582657</v>
      </c>
      <c r="C52" s="14">
        <f>'All Points'!E55</f>
        <v>600932</v>
      </c>
      <c r="D52">
        <f>'All Points'!D55</f>
        <v>582657</v>
      </c>
      <c r="E52" s="14">
        <f>'All Points'!E55</f>
        <v>600932</v>
      </c>
      <c r="F52">
        <f>'All Points'!D55</f>
        <v>582657</v>
      </c>
      <c r="G52" s="14">
        <f>'All Points'!E55</f>
        <v>600932</v>
      </c>
      <c r="H52">
        <f>'All Points'!K5</f>
        <v>582707</v>
      </c>
      <c r="I52" s="14">
        <f>'All Points'!L5</f>
        <v>600944</v>
      </c>
      <c r="J52">
        <f>'All Points'!K15</f>
        <v>582694</v>
      </c>
      <c r="K52">
        <f>'All Points'!L15</f>
        <v>600938</v>
      </c>
      <c r="L52">
        <f>'All Points'!K25</f>
        <v>582711</v>
      </c>
      <c r="M52">
        <f>'All Points'!L25</f>
        <v>600952</v>
      </c>
      <c r="N52">
        <f>'All Points'!R15</f>
        <v>582766</v>
      </c>
      <c r="O52">
        <f>'All Points'!S15</f>
        <v>600929</v>
      </c>
    </row>
    <row r="53" spans="1:17">
      <c r="A53" s="29">
        <v>52</v>
      </c>
      <c r="B53">
        <f>'All Points'!D56</f>
        <v>582658</v>
      </c>
      <c r="C53" s="14">
        <f>'All Points'!E56</f>
        <v>600943</v>
      </c>
      <c r="D53">
        <f>'All Points'!D56</f>
        <v>582658</v>
      </c>
      <c r="E53" s="14">
        <f>'All Points'!E56</f>
        <v>600943</v>
      </c>
      <c r="F53">
        <f>'All Points'!D56</f>
        <v>582658</v>
      </c>
      <c r="G53" s="14">
        <f>'All Points'!E56</f>
        <v>600943</v>
      </c>
      <c r="H53">
        <f>'All Points'!K5</f>
        <v>582707</v>
      </c>
      <c r="I53" s="14">
        <f>'All Points'!L5</f>
        <v>600944</v>
      </c>
      <c r="J53">
        <f>'All Points'!K16</f>
        <v>582719</v>
      </c>
      <c r="K53">
        <f>'All Points'!L16</f>
        <v>600952</v>
      </c>
      <c r="L53">
        <f>'All Points'!K26</f>
        <v>582696</v>
      </c>
      <c r="M53">
        <f>'All Points'!L26</f>
        <v>600919</v>
      </c>
      <c r="N53">
        <f>'All Points'!R16</f>
        <v>582773</v>
      </c>
      <c r="O53">
        <f>'All Points'!S16</f>
        <v>600950</v>
      </c>
    </row>
    <row r="54" spans="1:17">
      <c r="A54" s="29">
        <v>53</v>
      </c>
      <c r="B54">
        <f>'All Points'!D57</f>
        <v>582681</v>
      </c>
      <c r="C54" s="14">
        <f>'All Points'!E57</f>
        <v>600953</v>
      </c>
      <c r="D54">
        <f>'All Points'!D57</f>
        <v>582681</v>
      </c>
      <c r="E54" s="14">
        <f>'All Points'!E57</f>
        <v>600953</v>
      </c>
      <c r="F54">
        <f>'All Points'!D57</f>
        <v>582681</v>
      </c>
      <c r="G54" s="14">
        <f>'All Points'!E57</f>
        <v>600953</v>
      </c>
      <c r="H54">
        <f>'All Points'!K6</f>
        <v>582731</v>
      </c>
      <c r="I54" s="14">
        <f>'All Points'!L6</f>
        <v>600917</v>
      </c>
      <c r="J54">
        <f>'All Points'!K17</f>
        <v>582706</v>
      </c>
      <c r="K54">
        <f>'All Points'!L17</f>
        <v>600925</v>
      </c>
      <c r="L54">
        <f>'All Points'!K27</f>
        <v>582729</v>
      </c>
      <c r="M54">
        <f>'All Points'!L27</f>
        <v>600936</v>
      </c>
      <c r="N54">
        <f>'All Points'!R17</f>
        <v>582786</v>
      </c>
      <c r="O54">
        <f>'All Points'!S17</f>
        <v>600918</v>
      </c>
    </row>
    <row r="55" spans="1:17">
      <c r="A55" s="29">
        <v>54</v>
      </c>
      <c r="B55">
        <f>'All Points'!D58</f>
        <v>582692</v>
      </c>
      <c r="C55" s="14">
        <f>'All Points'!E58</f>
        <v>600934</v>
      </c>
      <c r="D55">
        <f>'All Points'!D58</f>
        <v>582692</v>
      </c>
      <c r="E55" s="14">
        <f>'All Points'!E58</f>
        <v>600934</v>
      </c>
      <c r="F55">
        <f>'All Points'!D58</f>
        <v>582692</v>
      </c>
      <c r="G55" s="14">
        <f>'All Points'!E58</f>
        <v>600934</v>
      </c>
      <c r="H55">
        <f>'All Points'!K7</f>
        <v>582700</v>
      </c>
      <c r="I55" s="14">
        <f>'All Points'!L7</f>
        <v>600922</v>
      </c>
      <c r="J55">
        <f>'All Points'!K18</f>
        <v>582736</v>
      </c>
      <c r="K55">
        <f>'All Points'!L18</f>
        <v>600936</v>
      </c>
      <c r="L55">
        <f>'All Points'!K28</f>
        <v>582698</v>
      </c>
      <c r="M55">
        <f>'All Points'!L28</f>
        <v>600936</v>
      </c>
      <c r="N55">
        <f>'All Points'!R18</f>
        <v>582746</v>
      </c>
      <c r="O55">
        <f>'All Points'!S18</f>
        <v>600949</v>
      </c>
    </row>
    <row r="56" spans="1:17">
      <c r="A56" s="29">
        <v>55</v>
      </c>
      <c r="B56">
        <f>'All Points'!D59</f>
        <v>582655</v>
      </c>
      <c r="C56" s="14">
        <f>'All Points'!E59</f>
        <v>600923</v>
      </c>
      <c r="D56">
        <f>'All Points'!D59</f>
        <v>582655</v>
      </c>
      <c r="E56" s="14">
        <f>'All Points'!E59</f>
        <v>600923</v>
      </c>
      <c r="F56">
        <f>'All Points'!D59</f>
        <v>582655</v>
      </c>
      <c r="G56" s="14">
        <f>'All Points'!E59</f>
        <v>600923</v>
      </c>
      <c r="H56">
        <f>'All Points'!K8</f>
        <v>582729</v>
      </c>
      <c r="I56" s="14">
        <f>'All Points'!L8</f>
        <v>600951</v>
      </c>
      <c r="J56">
        <f>'All Points'!K19</f>
        <v>582736</v>
      </c>
      <c r="K56">
        <f>'All Points'!L19</f>
        <v>600941</v>
      </c>
      <c r="L56">
        <f>'All Points'!K29</f>
        <v>582711</v>
      </c>
      <c r="M56">
        <f>'All Points'!L29</f>
        <v>600939</v>
      </c>
      <c r="N56">
        <f>'All Points'!R19</f>
        <v>582794</v>
      </c>
      <c r="O56">
        <f>'All Points'!S19</f>
        <v>600936</v>
      </c>
    </row>
    <row r="57" spans="1:17">
      <c r="A57" s="29">
        <v>56</v>
      </c>
      <c r="B57">
        <f>'All Points'!D60</f>
        <v>582663</v>
      </c>
      <c r="C57" s="14">
        <f>'All Points'!E60</f>
        <v>600943</v>
      </c>
      <c r="D57">
        <f>'All Points'!D60</f>
        <v>582663</v>
      </c>
      <c r="E57" s="14">
        <f>'All Points'!E60</f>
        <v>600943</v>
      </c>
      <c r="F57">
        <f>'All Points'!D60</f>
        <v>582663</v>
      </c>
      <c r="G57" s="14">
        <f>'All Points'!E60</f>
        <v>600943</v>
      </c>
      <c r="H57">
        <f>'All Points'!K9</f>
        <v>582722</v>
      </c>
      <c r="I57" s="14">
        <f>'All Points'!L9</f>
        <v>600952</v>
      </c>
      <c r="J57">
        <f>'All Points'!K20</f>
        <v>582695</v>
      </c>
      <c r="K57">
        <f>'All Points'!L20</f>
        <v>600940</v>
      </c>
      <c r="L57">
        <f>'All Points'!K30</f>
        <v>582739</v>
      </c>
      <c r="M57">
        <f>'All Points'!L30</f>
        <v>600946</v>
      </c>
      <c r="N57">
        <f>'All Points'!R20</f>
        <v>582795</v>
      </c>
      <c r="O57">
        <f>'All Points'!S20</f>
        <v>600913</v>
      </c>
    </row>
    <row r="58" spans="1:17">
      <c r="A58" s="29">
        <v>57</v>
      </c>
      <c r="B58">
        <f>'All Points'!D61</f>
        <v>582695</v>
      </c>
      <c r="C58" s="14">
        <f>'All Points'!E61</f>
        <v>600946</v>
      </c>
      <c r="D58">
        <f>'All Points'!D61</f>
        <v>582695</v>
      </c>
      <c r="E58" s="14">
        <f>'All Points'!E61</f>
        <v>600946</v>
      </c>
      <c r="F58">
        <f>'All Points'!D61</f>
        <v>582695</v>
      </c>
      <c r="G58" s="14">
        <f>'All Points'!E61</f>
        <v>600946</v>
      </c>
      <c r="H58">
        <f>'All Points'!K10</f>
        <v>582719</v>
      </c>
      <c r="I58" s="14">
        <f>'All Points'!L10</f>
        <v>600950</v>
      </c>
      <c r="J58">
        <f>'All Points'!K21</f>
        <v>582738</v>
      </c>
      <c r="K58">
        <f>'All Points'!L21</f>
        <v>600951</v>
      </c>
      <c r="L58">
        <f>'All Points'!K31</f>
        <v>582698</v>
      </c>
      <c r="M58">
        <f>'All Points'!L31</f>
        <v>600929</v>
      </c>
      <c r="N58">
        <f>'All Points'!R21</f>
        <v>582766</v>
      </c>
      <c r="O58">
        <f>'All Points'!S21</f>
        <v>600946</v>
      </c>
    </row>
    <row r="59" spans="1:17">
      <c r="A59" s="29">
        <v>58</v>
      </c>
      <c r="B59">
        <f>'All Points'!D62</f>
        <v>582676</v>
      </c>
      <c r="C59" s="14">
        <f>'All Points'!E62</f>
        <v>600917</v>
      </c>
      <c r="D59">
        <f>'All Points'!D62</f>
        <v>582676</v>
      </c>
      <c r="E59" s="14">
        <f>'All Points'!E62</f>
        <v>600917</v>
      </c>
      <c r="F59">
        <f>'All Points'!D62</f>
        <v>582676</v>
      </c>
      <c r="G59" s="14">
        <f>'All Points'!E62</f>
        <v>600917</v>
      </c>
      <c r="H59">
        <f>'All Points'!K11</f>
        <v>582742</v>
      </c>
      <c r="I59" s="14">
        <f>'All Points'!L11</f>
        <v>600948</v>
      </c>
      <c r="J59">
        <f>'All Points'!K22</f>
        <v>582695</v>
      </c>
      <c r="K59">
        <f>'All Points'!L22</f>
        <v>600938</v>
      </c>
      <c r="L59">
        <f>'All Points'!K32</f>
        <v>582730</v>
      </c>
      <c r="M59">
        <f>'All Points'!L32</f>
        <v>600917</v>
      </c>
      <c r="N59">
        <f>'All Points'!R22</f>
        <v>582774</v>
      </c>
      <c r="O59">
        <f>'All Points'!S22</f>
        <v>600921</v>
      </c>
    </row>
    <row r="60" spans="1:17">
      <c r="A60" s="29">
        <v>59</v>
      </c>
      <c r="B60">
        <f>'All Points'!D63</f>
        <v>582689</v>
      </c>
      <c r="C60" s="14">
        <f>'All Points'!E63</f>
        <v>600933</v>
      </c>
      <c r="D60">
        <f>'All Points'!D63</f>
        <v>582689</v>
      </c>
      <c r="E60" s="14">
        <f>'All Points'!E63</f>
        <v>600933</v>
      </c>
      <c r="F60">
        <f>'All Points'!D63</f>
        <v>582689</v>
      </c>
      <c r="G60" s="14">
        <f>'All Points'!E63</f>
        <v>600933</v>
      </c>
      <c r="H60">
        <f>'All Points'!K12</f>
        <v>582727</v>
      </c>
      <c r="I60" s="14">
        <f>'All Points'!L12</f>
        <v>600923</v>
      </c>
      <c r="J60">
        <f>'All Points'!K23</f>
        <v>582719</v>
      </c>
      <c r="K60">
        <f>'All Points'!L23</f>
        <v>600946</v>
      </c>
      <c r="L60">
        <f>'All Points'!K33</f>
        <v>582710</v>
      </c>
      <c r="M60">
        <f>'All Points'!L33</f>
        <v>600952</v>
      </c>
      <c r="N60">
        <f>'All Points'!R23</f>
        <v>582773</v>
      </c>
      <c r="O60">
        <f>'All Points'!S23</f>
        <v>600916</v>
      </c>
    </row>
    <row r="61" spans="1:17">
      <c r="A61" s="29">
        <v>60</v>
      </c>
      <c r="B61">
        <f>'All Points'!D64</f>
        <v>582689</v>
      </c>
      <c r="C61" s="14">
        <f>'All Points'!E64</f>
        <v>600923</v>
      </c>
      <c r="D61">
        <f>'All Points'!D64</f>
        <v>582689</v>
      </c>
      <c r="E61" s="14">
        <f>'All Points'!E64</f>
        <v>600923</v>
      </c>
      <c r="F61">
        <f>'All Points'!D64</f>
        <v>582689</v>
      </c>
      <c r="G61" s="14">
        <f>'All Points'!E64</f>
        <v>600923</v>
      </c>
      <c r="H61">
        <f>'All Points'!K13</f>
        <v>582696</v>
      </c>
      <c r="I61" s="14">
        <f>'All Points'!L13</f>
        <v>600939</v>
      </c>
      <c r="J61">
        <f>'All Points'!K24</f>
        <v>582712</v>
      </c>
      <c r="K61">
        <f>'All Points'!L24</f>
        <v>600922</v>
      </c>
      <c r="L61">
        <f>'All Points'!K34</f>
        <v>582704</v>
      </c>
      <c r="M61">
        <f>'All Points'!L34</f>
        <v>600939</v>
      </c>
      <c r="N61">
        <f>'All Points'!R24</f>
        <v>582773</v>
      </c>
      <c r="O61">
        <f>'All Points'!S24</f>
        <v>600926</v>
      </c>
    </row>
    <row r="62" spans="1:17" s="42" customFormat="1">
      <c r="A62" s="46">
        <v>61</v>
      </c>
      <c r="B62" s="42">
        <f>'All Points'!D65</f>
        <v>582677</v>
      </c>
      <c r="C62" s="47">
        <f>'All Points'!E65</f>
        <v>600934</v>
      </c>
      <c r="D62" s="42">
        <f>'All Points'!D65</f>
        <v>582677</v>
      </c>
      <c r="E62" s="47">
        <f>'All Points'!E65</f>
        <v>600934</v>
      </c>
      <c r="F62" s="42">
        <f>'All Points'!K5</f>
        <v>582707</v>
      </c>
      <c r="G62" s="42">
        <f>'All Points'!L5</f>
        <v>600944</v>
      </c>
      <c r="H62" s="42">
        <f>'All Points'!K14</f>
        <v>582731</v>
      </c>
      <c r="I62" s="47">
        <f>'All Points'!L14</f>
        <v>600938</v>
      </c>
      <c r="J62" s="42">
        <f>'All Points'!K25</f>
        <v>582711</v>
      </c>
      <c r="K62" s="42">
        <f>'All Points'!L25</f>
        <v>600952</v>
      </c>
      <c r="L62" s="42">
        <f>'All Points'!R5</f>
        <v>582786</v>
      </c>
      <c r="M62" s="42">
        <f>'All Points'!S5</f>
        <v>600936</v>
      </c>
      <c r="N62" s="42">
        <f>'All Points'!Y5</f>
        <v>582824</v>
      </c>
      <c r="O62" s="42">
        <f>'All Points'!Z5</f>
        <v>600914</v>
      </c>
      <c r="Q62" s="47"/>
    </row>
    <row r="63" spans="1:17">
      <c r="A63" s="29">
        <v>62</v>
      </c>
      <c r="B63">
        <f>'All Points'!D66</f>
        <v>582655</v>
      </c>
      <c r="C63" s="14">
        <f>'All Points'!E66</f>
        <v>600951</v>
      </c>
      <c r="D63">
        <f>'All Points'!D66</f>
        <v>582655</v>
      </c>
      <c r="E63" s="14">
        <f>'All Points'!E66</f>
        <v>600951</v>
      </c>
      <c r="F63" s="42">
        <f>'All Points'!K6</f>
        <v>582731</v>
      </c>
      <c r="G63" s="42">
        <f>'All Points'!L6</f>
        <v>600917</v>
      </c>
      <c r="H63">
        <f>'All Points'!K15</f>
        <v>582694</v>
      </c>
      <c r="I63" s="14">
        <f>'All Points'!L15</f>
        <v>600938</v>
      </c>
      <c r="J63">
        <f>'All Points'!K26</f>
        <v>582696</v>
      </c>
      <c r="K63">
        <f>'All Points'!L26</f>
        <v>600919</v>
      </c>
      <c r="L63">
        <f>'All Points'!R6</f>
        <v>582766</v>
      </c>
      <c r="M63">
        <f>'All Points'!S6</f>
        <v>600916</v>
      </c>
      <c r="N63">
        <f>'All Points'!Y6</f>
        <v>582813</v>
      </c>
      <c r="O63">
        <f>'All Points'!Z6</f>
        <v>600940</v>
      </c>
    </row>
    <row r="64" spans="1:17">
      <c r="A64" s="29">
        <v>63</v>
      </c>
      <c r="B64">
        <f>'All Points'!D67</f>
        <v>582646</v>
      </c>
      <c r="C64" s="14">
        <f>'All Points'!E67</f>
        <v>600951</v>
      </c>
      <c r="D64">
        <f>'All Points'!D67</f>
        <v>582646</v>
      </c>
      <c r="E64" s="14">
        <f>'All Points'!E67</f>
        <v>600951</v>
      </c>
      <c r="F64" s="42">
        <f>'All Points'!K7</f>
        <v>582700</v>
      </c>
      <c r="G64" s="42">
        <f>'All Points'!L7</f>
        <v>600922</v>
      </c>
      <c r="H64">
        <f>'All Points'!K16</f>
        <v>582719</v>
      </c>
      <c r="I64" s="14">
        <f>'All Points'!L16</f>
        <v>600952</v>
      </c>
      <c r="J64">
        <f>'All Points'!K27</f>
        <v>582729</v>
      </c>
      <c r="K64">
        <f>'All Points'!L27</f>
        <v>600936</v>
      </c>
      <c r="L64">
        <f>'All Points'!R7</f>
        <v>582755</v>
      </c>
      <c r="M64">
        <f>'All Points'!S7</f>
        <v>600932</v>
      </c>
      <c r="N64">
        <f>'All Points'!Y7</f>
        <v>582820</v>
      </c>
      <c r="O64">
        <f>'All Points'!Z7</f>
        <v>600920</v>
      </c>
    </row>
    <row r="65" spans="1:15">
      <c r="A65" s="29">
        <v>64</v>
      </c>
      <c r="B65">
        <f>'All Points'!D68</f>
        <v>582665</v>
      </c>
      <c r="C65" s="14">
        <f>'All Points'!E68</f>
        <v>600952</v>
      </c>
      <c r="D65">
        <f>'All Points'!D68</f>
        <v>582665</v>
      </c>
      <c r="E65" s="14">
        <f>'All Points'!E68</f>
        <v>600952</v>
      </c>
      <c r="F65" s="42">
        <f>'All Points'!K8</f>
        <v>582729</v>
      </c>
      <c r="G65" s="42">
        <f>'All Points'!L8</f>
        <v>600951</v>
      </c>
      <c r="H65">
        <f>'All Points'!K17</f>
        <v>582706</v>
      </c>
      <c r="I65" s="14">
        <f>'All Points'!L17</f>
        <v>600925</v>
      </c>
      <c r="J65">
        <f>'All Points'!K28</f>
        <v>582698</v>
      </c>
      <c r="K65">
        <f>'All Points'!L28</f>
        <v>600936</v>
      </c>
      <c r="L65">
        <f>'All Points'!R8</f>
        <v>582776</v>
      </c>
      <c r="M65">
        <f>'All Points'!S8</f>
        <v>600941</v>
      </c>
      <c r="N65">
        <f>'All Points'!Y8</f>
        <v>582840</v>
      </c>
      <c r="O65">
        <f>'All Points'!Z8</f>
        <v>600941</v>
      </c>
    </row>
    <row r="66" spans="1:15">
      <c r="A66" s="29">
        <v>65</v>
      </c>
      <c r="B66">
        <f>'All Points'!D69</f>
        <v>582674</v>
      </c>
      <c r="C66" s="14">
        <f>'All Points'!E69</f>
        <v>600930</v>
      </c>
      <c r="D66">
        <f>'All Points'!D69</f>
        <v>582674</v>
      </c>
      <c r="E66" s="14">
        <f>'All Points'!E69</f>
        <v>600930</v>
      </c>
      <c r="F66" s="42">
        <f>'All Points'!K9</f>
        <v>582722</v>
      </c>
      <c r="G66" s="42">
        <f>'All Points'!L9</f>
        <v>600952</v>
      </c>
      <c r="H66">
        <f>'All Points'!K18</f>
        <v>582736</v>
      </c>
      <c r="I66" s="14">
        <f>'All Points'!L18</f>
        <v>600936</v>
      </c>
      <c r="J66">
        <f>'All Points'!K29</f>
        <v>582711</v>
      </c>
      <c r="K66">
        <f>'All Points'!L29</f>
        <v>600939</v>
      </c>
      <c r="L66">
        <f>'All Points'!R9</f>
        <v>582776</v>
      </c>
      <c r="M66">
        <f>'All Points'!S9</f>
        <v>600918</v>
      </c>
      <c r="N66">
        <f>'All Points'!Y9</f>
        <v>582829</v>
      </c>
      <c r="O66">
        <f>'All Points'!Z9</f>
        <v>600942</v>
      </c>
    </row>
    <row r="67" spans="1:15">
      <c r="A67" s="29">
        <v>66</v>
      </c>
      <c r="B67">
        <f>'All Points'!D70</f>
        <v>582695</v>
      </c>
      <c r="C67" s="14">
        <f>'All Points'!E70</f>
        <v>600938</v>
      </c>
      <c r="D67">
        <f>'All Points'!D70</f>
        <v>582695</v>
      </c>
      <c r="E67" s="14">
        <f>'All Points'!E70</f>
        <v>600938</v>
      </c>
      <c r="F67" s="42">
        <f>'All Points'!K10</f>
        <v>582719</v>
      </c>
      <c r="G67" s="42">
        <f>'All Points'!L10</f>
        <v>600950</v>
      </c>
      <c r="H67">
        <f>'All Points'!K19</f>
        <v>582736</v>
      </c>
      <c r="I67" s="14">
        <f>'All Points'!L19</f>
        <v>600941</v>
      </c>
      <c r="J67">
        <f>'All Points'!K30</f>
        <v>582739</v>
      </c>
      <c r="K67">
        <f>'All Points'!L30</f>
        <v>600946</v>
      </c>
      <c r="L67">
        <f>'All Points'!R10</f>
        <v>582758</v>
      </c>
      <c r="M67">
        <f>'All Points'!S10</f>
        <v>600912</v>
      </c>
      <c r="N67">
        <f>'All Points'!Y10</f>
        <v>582835</v>
      </c>
      <c r="O67">
        <f>'All Points'!Z10</f>
        <v>600918</v>
      </c>
    </row>
    <row r="68" spans="1:15">
      <c r="A68" s="29">
        <v>67</v>
      </c>
      <c r="B68">
        <f>'All Points'!D71</f>
        <v>582652</v>
      </c>
      <c r="C68" s="14">
        <f>'All Points'!E71</f>
        <v>600924</v>
      </c>
      <c r="D68">
        <f>'All Points'!D71</f>
        <v>582652</v>
      </c>
      <c r="E68" s="14">
        <f>'All Points'!E71</f>
        <v>600924</v>
      </c>
      <c r="F68" s="42">
        <f>'All Points'!K11</f>
        <v>582742</v>
      </c>
      <c r="G68" s="42">
        <f>'All Points'!L11</f>
        <v>600948</v>
      </c>
      <c r="H68">
        <f>'All Points'!K20</f>
        <v>582695</v>
      </c>
      <c r="I68" s="14">
        <f>'All Points'!L20</f>
        <v>600940</v>
      </c>
      <c r="J68">
        <f>'All Points'!K31</f>
        <v>582698</v>
      </c>
      <c r="K68">
        <f>'All Points'!L31</f>
        <v>600929</v>
      </c>
      <c r="L68">
        <f>'All Points'!R11</f>
        <v>582765</v>
      </c>
      <c r="M68">
        <f>'All Points'!S11</f>
        <v>600944</v>
      </c>
      <c r="N68">
        <f>'All Points'!Y11</f>
        <v>582830</v>
      </c>
      <c r="O68">
        <f>'All Points'!Z11</f>
        <v>600932</v>
      </c>
    </row>
    <row r="69" spans="1:15">
      <c r="A69" s="29">
        <v>68</v>
      </c>
      <c r="B69">
        <f>'All Points'!D72</f>
        <v>582651</v>
      </c>
      <c r="C69" s="14">
        <f>'All Points'!E72</f>
        <v>600949</v>
      </c>
      <c r="D69">
        <f>'All Points'!D72</f>
        <v>582651</v>
      </c>
      <c r="E69" s="14">
        <f>'All Points'!E72</f>
        <v>600949</v>
      </c>
      <c r="F69" s="42">
        <f>'All Points'!K12</f>
        <v>582727</v>
      </c>
      <c r="G69" s="42">
        <f>'All Points'!L12</f>
        <v>600923</v>
      </c>
      <c r="H69">
        <f>'All Points'!K21</f>
        <v>582738</v>
      </c>
      <c r="I69" s="14">
        <f>'All Points'!L21</f>
        <v>600951</v>
      </c>
      <c r="J69">
        <f>'All Points'!K32</f>
        <v>582730</v>
      </c>
      <c r="K69">
        <f>'All Points'!L32</f>
        <v>600917</v>
      </c>
      <c r="L69">
        <f>'All Points'!R12</f>
        <v>582788</v>
      </c>
      <c r="M69">
        <f>'All Points'!S12</f>
        <v>600943</v>
      </c>
      <c r="N69">
        <f>'All Points'!Y12</f>
        <v>582845</v>
      </c>
      <c r="O69">
        <f>'All Points'!Z12</f>
        <v>600911</v>
      </c>
    </row>
    <row r="70" spans="1:15">
      <c r="A70" s="29">
        <v>69</v>
      </c>
      <c r="B70">
        <f>'All Points'!D73</f>
        <v>582680</v>
      </c>
      <c r="C70" s="14">
        <f>'All Points'!E73</f>
        <v>600930</v>
      </c>
      <c r="D70">
        <f>'All Points'!D73</f>
        <v>582680</v>
      </c>
      <c r="E70" s="14">
        <f>'All Points'!E73</f>
        <v>600930</v>
      </c>
      <c r="F70" s="42">
        <f>'All Points'!K13</f>
        <v>582696</v>
      </c>
      <c r="G70" s="42">
        <f>'All Points'!L13</f>
        <v>600939</v>
      </c>
      <c r="H70">
        <f>'All Points'!K22</f>
        <v>582695</v>
      </c>
      <c r="I70" s="14">
        <f>'All Points'!L22</f>
        <v>600938</v>
      </c>
      <c r="J70">
        <f>'All Points'!K33</f>
        <v>582710</v>
      </c>
      <c r="K70">
        <f>'All Points'!L33</f>
        <v>600952</v>
      </c>
      <c r="L70">
        <f>'All Points'!R13</f>
        <v>582774</v>
      </c>
      <c r="M70">
        <f>'All Points'!S13</f>
        <v>600913</v>
      </c>
      <c r="N70">
        <f>'All Points'!Y13</f>
        <v>582825</v>
      </c>
      <c r="O70">
        <f>'All Points'!Z13</f>
        <v>600933</v>
      </c>
    </row>
    <row r="71" spans="1:15">
      <c r="A71" s="29">
        <v>70</v>
      </c>
      <c r="B71">
        <f>'All Points'!D74</f>
        <v>582646</v>
      </c>
      <c r="C71" s="14">
        <f>'All Points'!E74</f>
        <v>600934</v>
      </c>
      <c r="D71">
        <f>'All Points'!D74</f>
        <v>582646</v>
      </c>
      <c r="E71" s="14">
        <f>'All Points'!E74</f>
        <v>600934</v>
      </c>
      <c r="F71" s="42">
        <f>'All Points'!K14</f>
        <v>582731</v>
      </c>
      <c r="G71" s="42">
        <f>'All Points'!L14</f>
        <v>600938</v>
      </c>
      <c r="H71">
        <f>'All Points'!K23</f>
        <v>582719</v>
      </c>
      <c r="I71" s="14">
        <f>'All Points'!L23</f>
        <v>600946</v>
      </c>
      <c r="J71">
        <f>'All Points'!K34</f>
        <v>582704</v>
      </c>
      <c r="K71">
        <f>'All Points'!L34</f>
        <v>600939</v>
      </c>
      <c r="L71">
        <f>'All Points'!R14</f>
        <v>582786</v>
      </c>
      <c r="M71">
        <f>'All Points'!S14</f>
        <v>600915</v>
      </c>
      <c r="N71">
        <f>'All Points'!Y14</f>
        <v>582796</v>
      </c>
      <c r="O71">
        <f>'All Points'!Z14</f>
        <v>600912</v>
      </c>
    </row>
    <row r="72" spans="1:15">
      <c r="A72" s="29">
        <v>71</v>
      </c>
      <c r="B72">
        <f>'All Points'!D75</f>
        <v>582674</v>
      </c>
      <c r="C72" s="14">
        <f>'All Points'!E75</f>
        <v>600957</v>
      </c>
      <c r="D72">
        <f>'All Points'!K5</f>
        <v>582707</v>
      </c>
      <c r="E72">
        <f>'All Points'!L5</f>
        <v>600944</v>
      </c>
      <c r="F72" s="42">
        <f>'All Points'!K15</f>
        <v>582694</v>
      </c>
      <c r="G72" s="42">
        <f>'All Points'!L15</f>
        <v>600938</v>
      </c>
      <c r="H72">
        <f>'All Points'!K24</f>
        <v>582712</v>
      </c>
      <c r="I72" s="14">
        <f>'All Points'!L24</f>
        <v>600922</v>
      </c>
      <c r="J72">
        <f>'All Points'!K35</f>
        <v>582740</v>
      </c>
      <c r="K72">
        <f>'All Points'!L35</f>
        <v>600946</v>
      </c>
      <c r="L72">
        <f>'All Points'!R15</f>
        <v>582766</v>
      </c>
      <c r="M72">
        <f>'All Points'!S15</f>
        <v>600929</v>
      </c>
      <c r="N72">
        <f>'All Points'!Y15</f>
        <v>582810</v>
      </c>
      <c r="O72">
        <f>'All Points'!Z15</f>
        <v>600940</v>
      </c>
    </row>
    <row r="73" spans="1:15">
      <c r="A73" s="29">
        <v>72</v>
      </c>
      <c r="B73">
        <f>'All Points'!D76</f>
        <v>582692</v>
      </c>
      <c r="C73" s="14">
        <f>'All Points'!E76</f>
        <v>600925</v>
      </c>
      <c r="D73">
        <f>'All Points'!K6</f>
        <v>582731</v>
      </c>
      <c r="E73">
        <f>'All Points'!L6</f>
        <v>600917</v>
      </c>
      <c r="F73" s="42">
        <f>'All Points'!K16</f>
        <v>582719</v>
      </c>
      <c r="G73" s="42">
        <f>'All Points'!L16</f>
        <v>600952</v>
      </c>
      <c r="H73">
        <f>'All Points'!K25</f>
        <v>582711</v>
      </c>
      <c r="I73" s="14">
        <f>'All Points'!L25</f>
        <v>600952</v>
      </c>
      <c r="J73">
        <f>'All Points'!K36</f>
        <v>582735</v>
      </c>
      <c r="K73">
        <f>'All Points'!L36</f>
        <v>600916</v>
      </c>
      <c r="L73">
        <f>'All Points'!R16</f>
        <v>582773</v>
      </c>
      <c r="M73">
        <f>'All Points'!S16</f>
        <v>600950</v>
      </c>
      <c r="N73">
        <f>'All Points'!Y16</f>
        <v>582803</v>
      </c>
      <c r="O73">
        <f>'All Points'!Z16</f>
        <v>600933</v>
      </c>
    </row>
    <row r="74" spans="1:15">
      <c r="A74" s="29">
        <v>73</v>
      </c>
      <c r="B74">
        <f>'All Points'!D77</f>
        <v>582693</v>
      </c>
      <c r="C74" s="14">
        <f>'All Points'!E77</f>
        <v>600945</v>
      </c>
      <c r="D74">
        <f>'All Points'!K7</f>
        <v>582700</v>
      </c>
      <c r="E74">
        <f>'All Points'!L7</f>
        <v>600922</v>
      </c>
      <c r="F74" s="42">
        <f>'All Points'!K17</f>
        <v>582706</v>
      </c>
      <c r="G74" s="42">
        <f>'All Points'!L17</f>
        <v>600925</v>
      </c>
      <c r="H74">
        <f>'All Points'!K26</f>
        <v>582696</v>
      </c>
      <c r="I74" s="14">
        <f>'All Points'!L26</f>
        <v>600919</v>
      </c>
      <c r="J74">
        <f>'All Points'!K37</f>
        <v>582713</v>
      </c>
      <c r="K74">
        <f>'All Points'!L37</f>
        <v>600938</v>
      </c>
      <c r="L74">
        <f>'All Points'!R17</f>
        <v>582786</v>
      </c>
      <c r="M74">
        <f>'All Points'!S17</f>
        <v>600918</v>
      </c>
      <c r="N74">
        <f>'All Points'!Y17</f>
        <v>582841</v>
      </c>
      <c r="O74">
        <f>'All Points'!Z17</f>
        <v>600941</v>
      </c>
    </row>
    <row r="75" spans="1:15">
      <c r="A75" s="29">
        <v>74</v>
      </c>
      <c r="B75">
        <f>'All Points'!D78</f>
        <v>582674</v>
      </c>
      <c r="C75" s="14">
        <f>'All Points'!E78</f>
        <v>600937</v>
      </c>
      <c r="D75">
        <f>'All Points'!K8</f>
        <v>582729</v>
      </c>
      <c r="E75">
        <f>'All Points'!L8</f>
        <v>600951</v>
      </c>
      <c r="F75" s="42">
        <f>'All Points'!K18</f>
        <v>582736</v>
      </c>
      <c r="G75" s="42">
        <f>'All Points'!L18</f>
        <v>600936</v>
      </c>
      <c r="H75">
        <f>'All Points'!K27</f>
        <v>582729</v>
      </c>
      <c r="I75" s="14">
        <f>'All Points'!L27</f>
        <v>600936</v>
      </c>
      <c r="J75">
        <f>'All Points'!K38</f>
        <v>582725</v>
      </c>
      <c r="K75">
        <f>'All Points'!L38</f>
        <v>600918</v>
      </c>
      <c r="L75">
        <f>'All Points'!R18</f>
        <v>582746</v>
      </c>
      <c r="M75">
        <f>'All Points'!S18</f>
        <v>600949</v>
      </c>
      <c r="N75">
        <f>'All Points'!Y18</f>
        <v>582808</v>
      </c>
      <c r="O75">
        <f>'All Points'!Z18</f>
        <v>600925</v>
      </c>
    </row>
    <row r="76" spans="1:15">
      <c r="A76" s="29">
        <v>75</v>
      </c>
      <c r="B76">
        <f>'All Points'!D79</f>
        <v>582648</v>
      </c>
      <c r="C76" s="14">
        <f>'All Points'!E79</f>
        <v>600936</v>
      </c>
      <c r="D76">
        <f>'All Points'!K9</f>
        <v>582722</v>
      </c>
      <c r="E76">
        <f>'All Points'!L9</f>
        <v>600952</v>
      </c>
      <c r="F76" s="42">
        <f>'All Points'!K19</f>
        <v>582736</v>
      </c>
      <c r="G76" s="42">
        <f>'All Points'!L19</f>
        <v>600941</v>
      </c>
      <c r="H76">
        <f>'All Points'!K28</f>
        <v>582698</v>
      </c>
      <c r="I76" s="14">
        <f>'All Points'!L28</f>
        <v>600936</v>
      </c>
      <c r="J76">
        <f>'All Points'!K39</f>
        <v>582727</v>
      </c>
      <c r="K76">
        <f>'All Points'!L39</f>
        <v>600937</v>
      </c>
      <c r="L76">
        <f>'All Points'!R19</f>
        <v>582794</v>
      </c>
      <c r="M76">
        <f>'All Points'!S19</f>
        <v>600936</v>
      </c>
      <c r="N76">
        <f>'All Points'!Y19</f>
        <v>582822</v>
      </c>
      <c r="O76">
        <f>'All Points'!Z19</f>
        <v>600913</v>
      </c>
    </row>
    <row r="77" spans="1:15">
      <c r="A77" s="29">
        <v>76</v>
      </c>
      <c r="B77">
        <f>'All Points'!D80</f>
        <v>582682</v>
      </c>
      <c r="C77" s="14">
        <f>'All Points'!E80</f>
        <v>600929</v>
      </c>
      <c r="D77">
        <f>'All Points'!K10</f>
        <v>582719</v>
      </c>
      <c r="E77">
        <f>'All Points'!L10</f>
        <v>600950</v>
      </c>
      <c r="F77" s="42">
        <f>'All Points'!K20</f>
        <v>582695</v>
      </c>
      <c r="G77" s="42">
        <f>'All Points'!L20</f>
        <v>600940</v>
      </c>
      <c r="H77">
        <f>'All Points'!K29</f>
        <v>582711</v>
      </c>
      <c r="I77" s="14">
        <f>'All Points'!L29</f>
        <v>600939</v>
      </c>
      <c r="J77">
        <f>'All Points'!K40</f>
        <v>582731</v>
      </c>
      <c r="K77">
        <f>'All Points'!L40</f>
        <v>600924</v>
      </c>
      <c r="L77">
        <f>'All Points'!R20</f>
        <v>582795</v>
      </c>
      <c r="M77">
        <f>'All Points'!S20</f>
        <v>600913</v>
      </c>
      <c r="N77">
        <f>'All Points'!Y20</f>
        <v>582840</v>
      </c>
      <c r="O77">
        <f>'All Points'!Z20</f>
        <v>600917</v>
      </c>
    </row>
    <row r="78" spans="1:15">
      <c r="A78" s="29">
        <v>77</v>
      </c>
      <c r="B78">
        <f>'All Points'!D81</f>
        <v>582676</v>
      </c>
      <c r="C78" s="14">
        <f>'All Points'!E81</f>
        <v>600938</v>
      </c>
      <c r="D78">
        <f>'All Points'!K11</f>
        <v>582742</v>
      </c>
      <c r="E78">
        <f>'All Points'!L11</f>
        <v>600948</v>
      </c>
      <c r="F78" s="42">
        <f>'All Points'!K21</f>
        <v>582738</v>
      </c>
      <c r="G78" s="42">
        <f>'All Points'!L21</f>
        <v>600951</v>
      </c>
      <c r="H78">
        <f>'All Points'!K30</f>
        <v>582739</v>
      </c>
      <c r="I78" s="14">
        <f>'All Points'!L30</f>
        <v>600946</v>
      </c>
      <c r="J78">
        <f>'All Points'!K41</f>
        <v>582727</v>
      </c>
      <c r="K78">
        <f>'All Points'!L41</f>
        <v>600935</v>
      </c>
      <c r="L78">
        <f>'All Points'!R21</f>
        <v>582766</v>
      </c>
      <c r="M78">
        <f>'All Points'!S21</f>
        <v>600946</v>
      </c>
      <c r="N78">
        <f>'All Points'!Y21</f>
        <v>582843</v>
      </c>
      <c r="O78">
        <f>'All Points'!Z21</f>
        <v>600934</v>
      </c>
    </row>
    <row r="79" spans="1:15">
      <c r="A79" s="29">
        <v>78</v>
      </c>
      <c r="B79">
        <f>'All Points'!D82</f>
        <v>582667</v>
      </c>
      <c r="C79" s="14">
        <f>'All Points'!E82</f>
        <v>600950</v>
      </c>
      <c r="D79">
        <f>'All Points'!K12</f>
        <v>582727</v>
      </c>
      <c r="E79">
        <f>'All Points'!L12</f>
        <v>600923</v>
      </c>
      <c r="F79" s="42">
        <f>'All Points'!K22</f>
        <v>582695</v>
      </c>
      <c r="G79" s="42">
        <f>'All Points'!L22</f>
        <v>600938</v>
      </c>
      <c r="H79">
        <f>'All Points'!K31</f>
        <v>582698</v>
      </c>
      <c r="I79" s="14">
        <f>'All Points'!L31</f>
        <v>600929</v>
      </c>
      <c r="J79">
        <f>'All Points'!K42</f>
        <v>582727</v>
      </c>
      <c r="K79">
        <f>'All Points'!L42</f>
        <v>600933</v>
      </c>
      <c r="L79">
        <f>'All Points'!R22</f>
        <v>582774</v>
      </c>
      <c r="M79">
        <f>'All Points'!S22</f>
        <v>600921</v>
      </c>
      <c r="N79">
        <f>'All Points'!Y22</f>
        <v>582805</v>
      </c>
      <c r="O79">
        <f>'All Points'!Z22</f>
        <v>600934</v>
      </c>
    </row>
    <row r="80" spans="1:15">
      <c r="A80" s="29">
        <v>79</v>
      </c>
      <c r="B80">
        <f>'All Points'!D83</f>
        <v>582649</v>
      </c>
      <c r="C80" s="14">
        <f>'All Points'!E83</f>
        <v>600929</v>
      </c>
      <c r="D80">
        <f>'All Points'!K13</f>
        <v>582696</v>
      </c>
      <c r="E80">
        <f>'All Points'!L13</f>
        <v>600939</v>
      </c>
      <c r="F80" s="42">
        <f>'All Points'!K23</f>
        <v>582719</v>
      </c>
      <c r="G80" s="42">
        <f>'All Points'!L23</f>
        <v>600946</v>
      </c>
      <c r="H80">
        <f>'All Points'!K32</f>
        <v>582730</v>
      </c>
      <c r="I80" s="14">
        <f>'All Points'!L32</f>
        <v>600917</v>
      </c>
      <c r="J80">
        <f>'All Points'!K43</f>
        <v>582732</v>
      </c>
      <c r="K80">
        <f>'All Points'!L43</f>
        <v>600932</v>
      </c>
      <c r="L80">
        <f>'All Points'!R23</f>
        <v>582773</v>
      </c>
      <c r="M80">
        <f>'All Points'!S23</f>
        <v>600916</v>
      </c>
      <c r="N80">
        <f>'All Points'!Y23</f>
        <v>582818</v>
      </c>
      <c r="O80">
        <f>'All Points'!Z23</f>
        <v>600928</v>
      </c>
    </row>
    <row r="81" spans="1:17" s="16" customFormat="1">
      <c r="A81" s="29">
        <v>80</v>
      </c>
      <c r="B81" s="16">
        <f>'All Points'!D84</f>
        <v>582677</v>
      </c>
      <c r="C81" s="17">
        <f>'All Points'!E84</f>
        <v>600949</v>
      </c>
      <c r="D81">
        <f>'All Points'!K14</f>
        <v>582731</v>
      </c>
      <c r="E81">
        <f>'All Points'!L14</f>
        <v>600938</v>
      </c>
      <c r="F81" s="42">
        <f>'All Points'!K24</f>
        <v>582712</v>
      </c>
      <c r="G81" s="42">
        <f>'All Points'!L24</f>
        <v>600922</v>
      </c>
      <c r="H81">
        <f>'All Points'!K33</f>
        <v>582710</v>
      </c>
      <c r="I81" s="14">
        <f>'All Points'!L33</f>
        <v>600952</v>
      </c>
      <c r="J81">
        <f>'All Points'!K44</f>
        <v>582710</v>
      </c>
      <c r="K81">
        <f>'All Points'!L44</f>
        <v>600945</v>
      </c>
      <c r="L81">
        <f>'All Points'!R24</f>
        <v>582773</v>
      </c>
      <c r="M81">
        <f>'All Points'!S24</f>
        <v>600926</v>
      </c>
      <c r="N81">
        <f>'All Points'!Y24</f>
        <v>582796</v>
      </c>
      <c r="O81">
        <f>'All Points'!Z24</f>
        <v>600919</v>
      </c>
      <c r="Q81" s="17"/>
    </row>
    <row r="82" spans="1:17">
      <c r="A82" s="29">
        <v>81</v>
      </c>
      <c r="B82">
        <f>'All Points'!K5</f>
        <v>582707</v>
      </c>
      <c r="C82">
        <f>'All Points'!L5</f>
        <v>600944</v>
      </c>
      <c r="D82">
        <f>'All Points'!K15</f>
        <v>582694</v>
      </c>
      <c r="E82">
        <f>'All Points'!L15</f>
        <v>600938</v>
      </c>
      <c r="F82" s="42">
        <f>'All Points'!K25</f>
        <v>582711</v>
      </c>
      <c r="G82" s="42">
        <f>'All Points'!L25</f>
        <v>600952</v>
      </c>
      <c r="H82">
        <f>'All Points'!K34</f>
        <v>582704</v>
      </c>
      <c r="I82" s="14">
        <f>'All Points'!L34</f>
        <v>600939</v>
      </c>
      <c r="J82">
        <f>'All Points'!R5</f>
        <v>582786</v>
      </c>
      <c r="K82">
        <f>'All Points'!S5</f>
        <v>600936</v>
      </c>
      <c r="L82">
        <f>'All Points'!R25</f>
        <v>582780</v>
      </c>
      <c r="M82">
        <f>'All Points'!S25</f>
        <v>600932</v>
      </c>
    </row>
    <row r="83" spans="1:17">
      <c r="A83" s="29">
        <v>82</v>
      </c>
      <c r="B83">
        <f>'All Points'!K6</f>
        <v>582731</v>
      </c>
      <c r="C83">
        <f>'All Points'!L6</f>
        <v>600917</v>
      </c>
      <c r="D83">
        <f>'All Points'!K16</f>
        <v>582719</v>
      </c>
      <c r="E83">
        <f>'All Points'!L16</f>
        <v>600952</v>
      </c>
      <c r="F83" s="42">
        <f>'All Points'!K26</f>
        <v>582696</v>
      </c>
      <c r="G83" s="42">
        <f>'All Points'!L26</f>
        <v>600919</v>
      </c>
      <c r="H83">
        <f>'All Points'!K35</f>
        <v>582740</v>
      </c>
      <c r="I83" s="14">
        <f>'All Points'!L35</f>
        <v>600946</v>
      </c>
      <c r="J83">
        <f>'All Points'!R6</f>
        <v>582766</v>
      </c>
      <c r="K83">
        <f>'All Points'!S6</f>
        <v>600916</v>
      </c>
      <c r="L83">
        <f>'All Points'!R26</f>
        <v>582796</v>
      </c>
      <c r="M83">
        <f>'All Points'!S26</f>
        <v>600943</v>
      </c>
    </row>
    <row r="84" spans="1:17">
      <c r="A84" s="29">
        <v>83</v>
      </c>
      <c r="B84">
        <f>'All Points'!K7</f>
        <v>582700</v>
      </c>
      <c r="C84">
        <f>'All Points'!L7</f>
        <v>600922</v>
      </c>
      <c r="D84">
        <f>'All Points'!K17</f>
        <v>582706</v>
      </c>
      <c r="E84">
        <f>'All Points'!L17</f>
        <v>600925</v>
      </c>
      <c r="F84" s="42">
        <f>'All Points'!K27</f>
        <v>582729</v>
      </c>
      <c r="G84" s="42">
        <f>'All Points'!L27</f>
        <v>600936</v>
      </c>
      <c r="H84">
        <f>'All Points'!K36</f>
        <v>582735</v>
      </c>
      <c r="I84" s="14">
        <f>'All Points'!L36</f>
        <v>600916</v>
      </c>
      <c r="J84">
        <f>'All Points'!R7</f>
        <v>582755</v>
      </c>
      <c r="K84">
        <f>'All Points'!S7</f>
        <v>600932</v>
      </c>
      <c r="L84">
        <f>'All Points'!R27</f>
        <v>582766</v>
      </c>
      <c r="M84">
        <f>'All Points'!S27</f>
        <v>600922</v>
      </c>
    </row>
    <row r="85" spans="1:17">
      <c r="A85" s="29">
        <v>84</v>
      </c>
      <c r="B85">
        <f>'All Points'!K8</f>
        <v>582729</v>
      </c>
      <c r="C85">
        <f>'All Points'!L8</f>
        <v>600951</v>
      </c>
      <c r="D85">
        <f>'All Points'!K18</f>
        <v>582736</v>
      </c>
      <c r="E85">
        <f>'All Points'!L18</f>
        <v>600936</v>
      </c>
      <c r="F85" s="42">
        <f>'All Points'!K28</f>
        <v>582698</v>
      </c>
      <c r="G85" s="42">
        <f>'All Points'!L28</f>
        <v>600936</v>
      </c>
      <c r="H85">
        <f>'All Points'!K37</f>
        <v>582713</v>
      </c>
      <c r="I85" s="14">
        <f>'All Points'!L37</f>
        <v>600938</v>
      </c>
      <c r="J85">
        <f>'All Points'!R8</f>
        <v>582776</v>
      </c>
      <c r="K85">
        <f>'All Points'!S8</f>
        <v>600941</v>
      </c>
      <c r="L85">
        <f>'All Points'!R28</f>
        <v>582760</v>
      </c>
      <c r="M85">
        <f>'All Points'!S28</f>
        <v>600930</v>
      </c>
    </row>
    <row r="86" spans="1:17">
      <c r="A86" s="29">
        <v>85</v>
      </c>
      <c r="B86">
        <f>'All Points'!K9</f>
        <v>582722</v>
      </c>
      <c r="C86">
        <f>'All Points'!L9</f>
        <v>600952</v>
      </c>
      <c r="D86">
        <f>'All Points'!K19</f>
        <v>582736</v>
      </c>
      <c r="E86">
        <f>'All Points'!L19</f>
        <v>600941</v>
      </c>
      <c r="F86" s="42">
        <f>'All Points'!K29</f>
        <v>582711</v>
      </c>
      <c r="G86" s="42">
        <f>'All Points'!L29</f>
        <v>600939</v>
      </c>
      <c r="H86">
        <f>'All Points'!K38</f>
        <v>582725</v>
      </c>
      <c r="I86" s="14">
        <f>'All Points'!L38</f>
        <v>600918</v>
      </c>
      <c r="J86">
        <f>'All Points'!R9</f>
        <v>582776</v>
      </c>
      <c r="K86">
        <f>'All Points'!S9</f>
        <v>600918</v>
      </c>
      <c r="L86">
        <f>'All Points'!R29</f>
        <v>582777</v>
      </c>
      <c r="M86">
        <f>'All Points'!S29</f>
        <v>600919</v>
      </c>
    </row>
    <row r="87" spans="1:17">
      <c r="A87" s="29">
        <v>86</v>
      </c>
      <c r="B87">
        <f>'All Points'!K10</f>
        <v>582719</v>
      </c>
      <c r="C87">
        <f>'All Points'!L10</f>
        <v>600950</v>
      </c>
      <c r="D87">
        <f>'All Points'!K20</f>
        <v>582695</v>
      </c>
      <c r="E87">
        <f>'All Points'!L20</f>
        <v>600940</v>
      </c>
      <c r="F87" s="42">
        <f>'All Points'!K30</f>
        <v>582739</v>
      </c>
      <c r="G87" s="42">
        <f>'All Points'!L30</f>
        <v>600946</v>
      </c>
      <c r="H87">
        <f>'All Points'!K39</f>
        <v>582727</v>
      </c>
      <c r="I87" s="14">
        <f>'All Points'!L39</f>
        <v>600937</v>
      </c>
      <c r="J87">
        <f>'All Points'!R10</f>
        <v>582758</v>
      </c>
      <c r="K87">
        <f>'All Points'!S10</f>
        <v>600912</v>
      </c>
      <c r="L87">
        <f>'All Points'!R30</f>
        <v>582776</v>
      </c>
      <c r="M87">
        <f>'All Points'!S30</f>
        <v>600945</v>
      </c>
    </row>
    <row r="88" spans="1:17">
      <c r="A88" s="29">
        <v>87</v>
      </c>
      <c r="B88">
        <f>'All Points'!K11</f>
        <v>582742</v>
      </c>
      <c r="C88">
        <f>'All Points'!L11</f>
        <v>600948</v>
      </c>
      <c r="D88">
        <f>'All Points'!K21</f>
        <v>582738</v>
      </c>
      <c r="E88">
        <f>'All Points'!L21</f>
        <v>600951</v>
      </c>
      <c r="F88" s="42">
        <f>'All Points'!K31</f>
        <v>582698</v>
      </c>
      <c r="G88" s="42">
        <f>'All Points'!L31</f>
        <v>600929</v>
      </c>
      <c r="H88">
        <f>'All Points'!K40</f>
        <v>582731</v>
      </c>
      <c r="I88" s="14">
        <f>'All Points'!L40</f>
        <v>600924</v>
      </c>
      <c r="J88">
        <f>'All Points'!R11</f>
        <v>582765</v>
      </c>
      <c r="K88">
        <f>'All Points'!S11</f>
        <v>600944</v>
      </c>
      <c r="L88">
        <f>'All Points'!R31</f>
        <v>582747</v>
      </c>
      <c r="M88">
        <f>'All Points'!S31</f>
        <v>600931</v>
      </c>
    </row>
    <row r="89" spans="1:17">
      <c r="A89" s="29">
        <v>88</v>
      </c>
      <c r="B89">
        <f>'All Points'!K12</f>
        <v>582727</v>
      </c>
      <c r="C89">
        <f>'All Points'!L12</f>
        <v>600923</v>
      </c>
      <c r="D89">
        <f>'All Points'!K22</f>
        <v>582695</v>
      </c>
      <c r="E89">
        <f>'All Points'!L22</f>
        <v>600938</v>
      </c>
      <c r="F89" s="42">
        <f>'All Points'!K32</f>
        <v>582730</v>
      </c>
      <c r="G89" s="42">
        <f>'All Points'!L32</f>
        <v>600917</v>
      </c>
      <c r="H89">
        <f>'All Points'!K41</f>
        <v>582727</v>
      </c>
      <c r="I89" s="14">
        <f>'All Points'!L41</f>
        <v>600935</v>
      </c>
      <c r="J89">
        <f>'All Points'!R12</f>
        <v>582788</v>
      </c>
      <c r="K89">
        <f>'All Points'!S12</f>
        <v>600943</v>
      </c>
      <c r="L89">
        <f>'All Points'!R32</f>
        <v>582783</v>
      </c>
      <c r="M89">
        <f>'All Points'!S32</f>
        <v>600924</v>
      </c>
    </row>
    <row r="90" spans="1:17">
      <c r="A90" s="29">
        <v>89</v>
      </c>
      <c r="B90">
        <f>'All Points'!K13</f>
        <v>582696</v>
      </c>
      <c r="C90">
        <f>'All Points'!L13</f>
        <v>600939</v>
      </c>
      <c r="D90">
        <f>'All Points'!K23</f>
        <v>582719</v>
      </c>
      <c r="E90">
        <f>'All Points'!L23</f>
        <v>600946</v>
      </c>
      <c r="F90" s="42">
        <f>'All Points'!K33</f>
        <v>582710</v>
      </c>
      <c r="G90" s="42">
        <f>'All Points'!L33</f>
        <v>600952</v>
      </c>
      <c r="H90">
        <f>'All Points'!K42</f>
        <v>582727</v>
      </c>
      <c r="I90" s="14">
        <f>'All Points'!L42</f>
        <v>600933</v>
      </c>
      <c r="J90">
        <f>'All Points'!R13</f>
        <v>582774</v>
      </c>
      <c r="K90">
        <f>'All Points'!S13</f>
        <v>600913</v>
      </c>
      <c r="L90">
        <f>'All Points'!R33</f>
        <v>582796</v>
      </c>
      <c r="M90">
        <f>'All Points'!S33</f>
        <v>600936</v>
      </c>
    </row>
    <row r="91" spans="1:17">
      <c r="A91" s="29">
        <v>90</v>
      </c>
      <c r="B91">
        <f>'All Points'!K14</f>
        <v>582731</v>
      </c>
      <c r="C91">
        <f>'All Points'!L14</f>
        <v>600938</v>
      </c>
      <c r="D91">
        <f>'All Points'!K24</f>
        <v>582712</v>
      </c>
      <c r="E91">
        <f>'All Points'!L24</f>
        <v>600922</v>
      </c>
      <c r="F91" s="42">
        <f>'All Points'!K34</f>
        <v>582704</v>
      </c>
      <c r="G91" s="42">
        <f>'All Points'!L34</f>
        <v>600939</v>
      </c>
      <c r="H91">
        <f>'All Points'!K43</f>
        <v>582732</v>
      </c>
      <c r="I91" s="14">
        <f>'All Points'!L43</f>
        <v>600932</v>
      </c>
      <c r="J91">
        <f>'All Points'!R14</f>
        <v>582786</v>
      </c>
      <c r="K91">
        <f>'All Points'!S14</f>
        <v>600915</v>
      </c>
      <c r="L91">
        <f>'All Points'!R34</f>
        <v>582781</v>
      </c>
      <c r="M91">
        <f>'All Points'!S34</f>
        <v>600917</v>
      </c>
    </row>
    <row r="92" spans="1:17">
      <c r="A92" s="29">
        <v>91</v>
      </c>
      <c r="B92">
        <f>'All Points'!K15</f>
        <v>582694</v>
      </c>
      <c r="C92">
        <f>'All Points'!L15</f>
        <v>600938</v>
      </c>
      <c r="D92">
        <f>'All Points'!K25</f>
        <v>582711</v>
      </c>
      <c r="E92">
        <f>'All Points'!L25</f>
        <v>600952</v>
      </c>
      <c r="F92" s="42">
        <f>'All Points'!K35</f>
        <v>582740</v>
      </c>
      <c r="G92" s="42">
        <f>'All Points'!L35</f>
        <v>600946</v>
      </c>
      <c r="H92">
        <f>'All Points'!K44</f>
        <v>582710</v>
      </c>
      <c r="I92" s="14">
        <f>'All Points'!L44</f>
        <v>600945</v>
      </c>
      <c r="J92">
        <f>'All Points'!R15</f>
        <v>582766</v>
      </c>
      <c r="K92">
        <f>'All Points'!S15</f>
        <v>600929</v>
      </c>
      <c r="L92">
        <f>'All Points'!Y5</f>
        <v>582824</v>
      </c>
      <c r="M92">
        <f>'All Points'!Z5</f>
        <v>600914</v>
      </c>
    </row>
    <row r="93" spans="1:17">
      <c r="A93" s="29">
        <v>92</v>
      </c>
      <c r="B93">
        <f>'All Points'!K16</f>
        <v>582719</v>
      </c>
      <c r="C93">
        <f>'All Points'!L16</f>
        <v>600952</v>
      </c>
      <c r="D93">
        <f>'All Points'!K26</f>
        <v>582696</v>
      </c>
      <c r="E93">
        <f>'All Points'!L26</f>
        <v>600919</v>
      </c>
      <c r="F93" s="42">
        <f>'All Points'!K36</f>
        <v>582735</v>
      </c>
      <c r="G93" s="42">
        <f>'All Points'!L36</f>
        <v>600916</v>
      </c>
      <c r="H93">
        <f>'All Points'!K45</f>
        <v>582728</v>
      </c>
      <c r="I93" s="14">
        <f>'All Points'!L45</f>
        <v>600921</v>
      </c>
      <c r="J93">
        <f>'All Points'!R16</f>
        <v>582773</v>
      </c>
      <c r="K93">
        <f>'All Points'!S16</f>
        <v>600950</v>
      </c>
      <c r="L93">
        <f>'All Points'!Y6</f>
        <v>582813</v>
      </c>
      <c r="M93">
        <f>'All Points'!Z6</f>
        <v>600940</v>
      </c>
    </row>
    <row r="94" spans="1:17">
      <c r="A94" s="29">
        <v>93</v>
      </c>
      <c r="B94">
        <f>'All Points'!K17</f>
        <v>582706</v>
      </c>
      <c r="C94">
        <f>'All Points'!L17</f>
        <v>600925</v>
      </c>
      <c r="D94">
        <f>'All Points'!K27</f>
        <v>582729</v>
      </c>
      <c r="E94">
        <f>'All Points'!L27</f>
        <v>600936</v>
      </c>
      <c r="F94" s="42">
        <f>'All Points'!K37</f>
        <v>582713</v>
      </c>
      <c r="G94" s="42">
        <f>'All Points'!L37</f>
        <v>600938</v>
      </c>
      <c r="H94">
        <f>'All Points'!K46</f>
        <v>582724</v>
      </c>
      <c r="I94" s="14">
        <f>'All Points'!L46</f>
        <v>600919</v>
      </c>
      <c r="J94">
        <f>'All Points'!R17</f>
        <v>582786</v>
      </c>
      <c r="K94">
        <f>'All Points'!S17</f>
        <v>600918</v>
      </c>
      <c r="L94">
        <f>'All Points'!Y7</f>
        <v>582820</v>
      </c>
      <c r="M94">
        <f>'All Points'!Z7</f>
        <v>600920</v>
      </c>
    </row>
    <row r="95" spans="1:17">
      <c r="A95" s="29">
        <v>94</v>
      </c>
      <c r="B95">
        <f>'All Points'!K18</f>
        <v>582736</v>
      </c>
      <c r="C95">
        <f>'All Points'!L18</f>
        <v>600936</v>
      </c>
      <c r="D95">
        <f>'All Points'!K28</f>
        <v>582698</v>
      </c>
      <c r="E95">
        <f>'All Points'!L28</f>
        <v>600936</v>
      </c>
      <c r="F95" s="42">
        <f>'All Points'!K38</f>
        <v>582725</v>
      </c>
      <c r="G95" s="42">
        <f>'All Points'!L38</f>
        <v>600918</v>
      </c>
      <c r="H95">
        <f>'All Points'!K47</f>
        <v>582738</v>
      </c>
      <c r="I95" s="14">
        <f>'All Points'!L47</f>
        <v>600919</v>
      </c>
      <c r="J95">
        <f>'All Points'!R18</f>
        <v>582746</v>
      </c>
      <c r="K95">
        <f>'All Points'!S18</f>
        <v>600949</v>
      </c>
      <c r="L95">
        <f>'All Points'!Y8</f>
        <v>582840</v>
      </c>
      <c r="M95">
        <f>'All Points'!Z8</f>
        <v>600941</v>
      </c>
    </row>
    <row r="96" spans="1:17">
      <c r="A96" s="29">
        <v>95</v>
      </c>
      <c r="B96">
        <f>'All Points'!K19</f>
        <v>582736</v>
      </c>
      <c r="C96">
        <f>'All Points'!L19</f>
        <v>600941</v>
      </c>
      <c r="D96">
        <f>'All Points'!K29</f>
        <v>582711</v>
      </c>
      <c r="E96">
        <f>'All Points'!L29</f>
        <v>600939</v>
      </c>
      <c r="F96" s="42">
        <f>'All Points'!K39</f>
        <v>582727</v>
      </c>
      <c r="G96" s="42">
        <f>'All Points'!L39</f>
        <v>600937</v>
      </c>
      <c r="H96">
        <f>'All Points'!K48</f>
        <v>582740</v>
      </c>
      <c r="I96" s="14">
        <f>'All Points'!L48</f>
        <v>600951</v>
      </c>
      <c r="J96">
        <f>'All Points'!R19</f>
        <v>582794</v>
      </c>
      <c r="K96">
        <f>'All Points'!S19</f>
        <v>600936</v>
      </c>
      <c r="L96">
        <f>'All Points'!Y9</f>
        <v>582829</v>
      </c>
      <c r="M96">
        <f>'All Points'!Z9</f>
        <v>600942</v>
      </c>
    </row>
    <row r="97" spans="1:13">
      <c r="A97" s="29">
        <v>96</v>
      </c>
      <c r="B97">
        <f>'All Points'!K20</f>
        <v>582695</v>
      </c>
      <c r="C97">
        <f>'All Points'!L20</f>
        <v>600940</v>
      </c>
      <c r="D97">
        <f>'All Points'!K30</f>
        <v>582739</v>
      </c>
      <c r="E97">
        <f>'All Points'!L30</f>
        <v>600946</v>
      </c>
      <c r="F97" s="42">
        <f>'All Points'!K40</f>
        <v>582731</v>
      </c>
      <c r="G97" s="42">
        <f>'All Points'!L40</f>
        <v>600924</v>
      </c>
      <c r="H97">
        <f>'All Points'!K49</f>
        <v>582741</v>
      </c>
      <c r="I97" s="14">
        <f>'All Points'!L49</f>
        <v>600918</v>
      </c>
      <c r="J97">
        <f>'All Points'!R20</f>
        <v>582795</v>
      </c>
      <c r="K97">
        <f>'All Points'!S20</f>
        <v>600913</v>
      </c>
      <c r="L97">
        <f>'All Points'!Y10</f>
        <v>582835</v>
      </c>
      <c r="M97">
        <f>'All Points'!Z10</f>
        <v>600918</v>
      </c>
    </row>
    <row r="98" spans="1:13">
      <c r="A98" s="29">
        <v>97</v>
      </c>
      <c r="B98">
        <f>'All Points'!K21</f>
        <v>582738</v>
      </c>
      <c r="C98">
        <f>'All Points'!L21</f>
        <v>600951</v>
      </c>
      <c r="D98">
        <f>'All Points'!K31</f>
        <v>582698</v>
      </c>
      <c r="E98">
        <f>'All Points'!L31</f>
        <v>600929</v>
      </c>
      <c r="F98" s="42">
        <f>'All Points'!K41</f>
        <v>582727</v>
      </c>
      <c r="G98" s="42">
        <f>'All Points'!L41</f>
        <v>600935</v>
      </c>
      <c r="H98">
        <f>'All Points'!K50</f>
        <v>582715</v>
      </c>
      <c r="I98" s="14">
        <f>'All Points'!L50</f>
        <v>600927</v>
      </c>
      <c r="J98">
        <f>'All Points'!R21</f>
        <v>582766</v>
      </c>
      <c r="K98">
        <f>'All Points'!S21</f>
        <v>600946</v>
      </c>
      <c r="L98">
        <f>'All Points'!Y11</f>
        <v>582830</v>
      </c>
      <c r="M98">
        <f>'All Points'!Z11</f>
        <v>600932</v>
      </c>
    </row>
    <row r="99" spans="1:13">
      <c r="A99" s="29">
        <v>98</v>
      </c>
      <c r="B99">
        <f>'All Points'!K22</f>
        <v>582695</v>
      </c>
      <c r="C99">
        <f>'All Points'!L22</f>
        <v>600938</v>
      </c>
      <c r="D99">
        <f>'All Points'!K32</f>
        <v>582730</v>
      </c>
      <c r="E99">
        <f>'All Points'!L32</f>
        <v>600917</v>
      </c>
      <c r="F99" s="42">
        <f>'All Points'!K42</f>
        <v>582727</v>
      </c>
      <c r="G99" s="42">
        <f>'All Points'!L42</f>
        <v>600933</v>
      </c>
      <c r="H99">
        <f>'All Points'!K51</f>
        <v>582726</v>
      </c>
      <c r="I99" s="14">
        <f>'All Points'!L51</f>
        <v>600925</v>
      </c>
      <c r="J99">
        <f>'All Points'!R22</f>
        <v>582774</v>
      </c>
      <c r="K99">
        <f>'All Points'!S22</f>
        <v>600921</v>
      </c>
      <c r="L99">
        <f>'All Points'!Y12</f>
        <v>582845</v>
      </c>
      <c r="M99">
        <f>'All Points'!Z12</f>
        <v>600911</v>
      </c>
    </row>
    <row r="100" spans="1:13">
      <c r="A100" s="29">
        <v>99</v>
      </c>
      <c r="B100">
        <f>'All Points'!K23</f>
        <v>582719</v>
      </c>
      <c r="C100">
        <f>'All Points'!L23</f>
        <v>600946</v>
      </c>
      <c r="D100">
        <f>'All Points'!K33</f>
        <v>582710</v>
      </c>
      <c r="E100">
        <f>'All Points'!L33</f>
        <v>600952</v>
      </c>
      <c r="F100" s="42">
        <f>'All Points'!K43</f>
        <v>582732</v>
      </c>
      <c r="G100" s="42">
        <f>'All Points'!L43</f>
        <v>600932</v>
      </c>
      <c r="H100">
        <f>'All Points'!K52</f>
        <v>582720</v>
      </c>
      <c r="I100" s="14">
        <f>'All Points'!L52</f>
        <v>600918</v>
      </c>
      <c r="J100">
        <f>'All Points'!R23</f>
        <v>582773</v>
      </c>
      <c r="K100">
        <f>'All Points'!S23</f>
        <v>600916</v>
      </c>
      <c r="L100">
        <f>'All Points'!Y13</f>
        <v>582825</v>
      </c>
      <c r="M100">
        <f>'All Points'!Z13</f>
        <v>600933</v>
      </c>
    </row>
    <row r="101" spans="1:13">
      <c r="A101" s="29">
        <v>100</v>
      </c>
      <c r="B101">
        <f>'All Points'!K24</f>
        <v>582712</v>
      </c>
      <c r="C101">
        <f>'All Points'!L24</f>
        <v>600922</v>
      </c>
      <c r="D101">
        <f>'All Points'!K34</f>
        <v>582704</v>
      </c>
      <c r="E101">
        <f>'All Points'!L34</f>
        <v>600939</v>
      </c>
      <c r="F101" s="42">
        <f>'All Points'!K44</f>
        <v>582710</v>
      </c>
      <c r="G101" s="42">
        <f>'All Points'!L44</f>
        <v>600945</v>
      </c>
      <c r="H101">
        <f>'All Points'!K53</f>
        <v>582706</v>
      </c>
      <c r="I101" s="14">
        <f>'All Points'!L53</f>
        <v>600946</v>
      </c>
      <c r="J101">
        <f>'All Points'!R24</f>
        <v>582773</v>
      </c>
      <c r="K101">
        <f>'All Points'!S24</f>
        <v>600926</v>
      </c>
      <c r="L101">
        <f>'All Points'!Y14</f>
        <v>582796</v>
      </c>
      <c r="M101">
        <f>'All Points'!Z14</f>
        <v>600912</v>
      </c>
    </row>
    <row r="102" spans="1:13">
      <c r="A102" s="29">
        <v>101</v>
      </c>
      <c r="B102">
        <f>'All Points'!K25</f>
        <v>582711</v>
      </c>
      <c r="C102">
        <f>'All Points'!L25</f>
        <v>600952</v>
      </c>
      <c r="D102">
        <f>'All Points'!K35</f>
        <v>582740</v>
      </c>
      <c r="E102">
        <f>'All Points'!L35</f>
        <v>600946</v>
      </c>
      <c r="F102" s="42">
        <f>'All Points'!K45</f>
        <v>582728</v>
      </c>
      <c r="G102" s="42">
        <f>'All Points'!L45</f>
        <v>600921</v>
      </c>
      <c r="H102">
        <f>'All Points'!R5</f>
        <v>582786</v>
      </c>
      <c r="I102" s="14">
        <f>'All Points'!S5</f>
        <v>600936</v>
      </c>
      <c r="J102">
        <f>'All Points'!R25</f>
        <v>582780</v>
      </c>
      <c r="K102">
        <f>'All Points'!S25</f>
        <v>600932</v>
      </c>
      <c r="L102">
        <f>'All Points'!Y15</f>
        <v>582810</v>
      </c>
      <c r="M102">
        <f>'All Points'!Z15</f>
        <v>600940</v>
      </c>
    </row>
    <row r="103" spans="1:13">
      <c r="A103" s="29">
        <v>102</v>
      </c>
      <c r="B103">
        <f>'All Points'!K26</f>
        <v>582696</v>
      </c>
      <c r="C103">
        <f>'All Points'!L26</f>
        <v>600919</v>
      </c>
      <c r="D103">
        <f>'All Points'!K36</f>
        <v>582735</v>
      </c>
      <c r="E103">
        <f>'All Points'!L36</f>
        <v>600916</v>
      </c>
      <c r="F103" s="42">
        <f>'All Points'!K46</f>
        <v>582724</v>
      </c>
      <c r="G103" s="42">
        <f>'All Points'!L46</f>
        <v>600919</v>
      </c>
      <c r="H103">
        <f>'All Points'!R6</f>
        <v>582766</v>
      </c>
      <c r="I103" s="14">
        <f>'All Points'!S6</f>
        <v>600916</v>
      </c>
      <c r="J103">
        <f>'All Points'!R26</f>
        <v>582796</v>
      </c>
      <c r="K103">
        <f>'All Points'!S26</f>
        <v>600943</v>
      </c>
      <c r="L103">
        <f>'All Points'!Y16</f>
        <v>582803</v>
      </c>
      <c r="M103">
        <f>'All Points'!Z16</f>
        <v>600933</v>
      </c>
    </row>
    <row r="104" spans="1:13">
      <c r="A104" s="29">
        <v>103</v>
      </c>
      <c r="B104">
        <f>'All Points'!K27</f>
        <v>582729</v>
      </c>
      <c r="C104">
        <f>'All Points'!L27</f>
        <v>600936</v>
      </c>
      <c r="D104">
        <f>'All Points'!K37</f>
        <v>582713</v>
      </c>
      <c r="E104">
        <f>'All Points'!L37</f>
        <v>600938</v>
      </c>
      <c r="F104" s="42">
        <f>'All Points'!K47</f>
        <v>582738</v>
      </c>
      <c r="G104" s="42">
        <f>'All Points'!L47</f>
        <v>600919</v>
      </c>
      <c r="H104">
        <f>'All Points'!R7</f>
        <v>582755</v>
      </c>
      <c r="I104" s="14">
        <f>'All Points'!S7</f>
        <v>600932</v>
      </c>
      <c r="J104">
        <f>'All Points'!R27</f>
        <v>582766</v>
      </c>
      <c r="K104">
        <f>'All Points'!S27</f>
        <v>600922</v>
      </c>
      <c r="L104">
        <f>'All Points'!Y17</f>
        <v>582841</v>
      </c>
      <c r="M104">
        <f>'All Points'!Z17</f>
        <v>600941</v>
      </c>
    </row>
    <row r="105" spans="1:13">
      <c r="A105" s="29">
        <v>104</v>
      </c>
      <c r="B105">
        <f>'All Points'!K28</f>
        <v>582698</v>
      </c>
      <c r="C105">
        <f>'All Points'!L28</f>
        <v>600936</v>
      </c>
      <c r="D105">
        <f>'All Points'!K38</f>
        <v>582725</v>
      </c>
      <c r="E105">
        <f>'All Points'!L38</f>
        <v>600918</v>
      </c>
      <c r="F105" s="42">
        <f>'All Points'!K48</f>
        <v>582740</v>
      </c>
      <c r="G105" s="42">
        <f>'All Points'!L48</f>
        <v>600951</v>
      </c>
      <c r="H105">
        <f>'All Points'!R8</f>
        <v>582776</v>
      </c>
      <c r="I105" s="14">
        <f>'All Points'!S8</f>
        <v>600941</v>
      </c>
      <c r="J105">
        <f>'All Points'!R28</f>
        <v>582760</v>
      </c>
      <c r="K105">
        <f>'All Points'!S28</f>
        <v>600930</v>
      </c>
      <c r="L105">
        <f>'All Points'!Y18</f>
        <v>582808</v>
      </c>
      <c r="M105">
        <f>'All Points'!Z18</f>
        <v>600925</v>
      </c>
    </row>
    <row r="106" spans="1:13">
      <c r="A106" s="29">
        <v>105</v>
      </c>
      <c r="B106">
        <f>'All Points'!K29</f>
        <v>582711</v>
      </c>
      <c r="C106">
        <f>'All Points'!L29</f>
        <v>600939</v>
      </c>
      <c r="D106">
        <f>'All Points'!K39</f>
        <v>582727</v>
      </c>
      <c r="E106">
        <f>'All Points'!L39</f>
        <v>600937</v>
      </c>
      <c r="F106" s="42">
        <f>'All Points'!K49</f>
        <v>582741</v>
      </c>
      <c r="G106" s="42">
        <f>'All Points'!L49</f>
        <v>600918</v>
      </c>
      <c r="H106">
        <f>'All Points'!R9</f>
        <v>582776</v>
      </c>
      <c r="I106" s="14">
        <f>'All Points'!S9</f>
        <v>600918</v>
      </c>
      <c r="J106">
        <f>'All Points'!R29</f>
        <v>582777</v>
      </c>
      <c r="K106">
        <f>'All Points'!S29</f>
        <v>600919</v>
      </c>
      <c r="L106">
        <f>'All Points'!Y19</f>
        <v>582822</v>
      </c>
      <c r="M106">
        <f>'All Points'!Z19</f>
        <v>600913</v>
      </c>
    </row>
    <row r="107" spans="1:13">
      <c r="A107" s="29">
        <v>106</v>
      </c>
      <c r="B107">
        <f>'All Points'!K30</f>
        <v>582739</v>
      </c>
      <c r="C107">
        <f>'All Points'!L30</f>
        <v>600946</v>
      </c>
      <c r="D107">
        <f>'All Points'!K40</f>
        <v>582731</v>
      </c>
      <c r="E107">
        <f>'All Points'!L40</f>
        <v>600924</v>
      </c>
      <c r="F107" s="42">
        <f>'All Points'!K50</f>
        <v>582715</v>
      </c>
      <c r="G107" s="42">
        <f>'All Points'!L50</f>
        <v>600927</v>
      </c>
      <c r="H107">
        <f>'All Points'!R10</f>
        <v>582758</v>
      </c>
      <c r="I107" s="14">
        <f>'All Points'!S10</f>
        <v>600912</v>
      </c>
      <c r="J107">
        <f>'All Points'!R30</f>
        <v>582776</v>
      </c>
      <c r="K107">
        <f>'All Points'!S30</f>
        <v>600945</v>
      </c>
      <c r="L107">
        <f>'All Points'!Y20</f>
        <v>582840</v>
      </c>
      <c r="M107">
        <f>'All Points'!Z20</f>
        <v>600917</v>
      </c>
    </row>
    <row r="108" spans="1:13">
      <c r="A108" s="29">
        <v>107</v>
      </c>
      <c r="B108">
        <f>'All Points'!K31</f>
        <v>582698</v>
      </c>
      <c r="C108">
        <f>'All Points'!L31</f>
        <v>600929</v>
      </c>
      <c r="D108">
        <f>'All Points'!K41</f>
        <v>582727</v>
      </c>
      <c r="E108">
        <f>'All Points'!L41</f>
        <v>600935</v>
      </c>
      <c r="F108" s="42">
        <f>'All Points'!K51</f>
        <v>582726</v>
      </c>
      <c r="G108" s="42">
        <f>'All Points'!L51</f>
        <v>600925</v>
      </c>
      <c r="H108">
        <f>'All Points'!R11</f>
        <v>582765</v>
      </c>
      <c r="I108" s="14">
        <f>'All Points'!S11</f>
        <v>600944</v>
      </c>
      <c r="J108">
        <f>'All Points'!R31</f>
        <v>582747</v>
      </c>
      <c r="K108">
        <f>'All Points'!S31</f>
        <v>600931</v>
      </c>
      <c r="L108">
        <f>'All Points'!Y21</f>
        <v>582843</v>
      </c>
      <c r="M108">
        <f>'All Points'!Z21</f>
        <v>600934</v>
      </c>
    </row>
    <row r="109" spans="1:13">
      <c r="A109" s="29">
        <v>108</v>
      </c>
      <c r="B109">
        <f>'All Points'!K32</f>
        <v>582730</v>
      </c>
      <c r="C109">
        <f>'All Points'!L32</f>
        <v>600917</v>
      </c>
      <c r="D109">
        <f>'All Points'!K42</f>
        <v>582727</v>
      </c>
      <c r="E109">
        <f>'All Points'!L42</f>
        <v>600933</v>
      </c>
      <c r="F109" s="42">
        <f>'All Points'!K52</f>
        <v>582720</v>
      </c>
      <c r="G109" s="42">
        <f>'All Points'!L52</f>
        <v>600918</v>
      </c>
      <c r="H109">
        <f>'All Points'!R12</f>
        <v>582788</v>
      </c>
      <c r="I109" s="14">
        <f>'All Points'!S12</f>
        <v>600943</v>
      </c>
      <c r="J109">
        <f>'All Points'!R32</f>
        <v>582783</v>
      </c>
      <c r="K109">
        <f>'All Points'!S32</f>
        <v>600924</v>
      </c>
      <c r="L109">
        <f>'All Points'!Y22</f>
        <v>582805</v>
      </c>
      <c r="M109">
        <f>'All Points'!Z22</f>
        <v>600934</v>
      </c>
    </row>
    <row r="110" spans="1:13">
      <c r="A110" s="29">
        <v>109</v>
      </c>
      <c r="B110">
        <f>'All Points'!K33</f>
        <v>582710</v>
      </c>
      <c r="C110">
        <f>'All Points'!L33</f>
        <v>600952</v>
      </c>
      <c r="D110">
        <f>'All Points'!K43</f>
        <v>582732</v>
      </c>
      <c r="E110">
        <f>'All Points'!L43</f>
        <v>600932</v>
      </c>
      <c r="F110" s="42">
        <f>'All Points'!K53</f>
        <v>582706</v>
      </c>
      <c r="G110" s="42">
        <f>'All Points'!L53</f>
        <v>600946</v>
      </c>
      <c r="H110">
        <f>'All Points'!R13</f>
        <v>582774</v>
      </c>
      <c r="I110" s="14">
        <f>'All Points'!S13</f>
        <v>600913</v>
      </c>
      <c r="J110">
        <f>'All Points'!R33</f>
        <v>582796</v>
      </c>
      <c r="K110">
        <f>'All Points'!S33</f>
        <v>600936</v>
      </c>
      <c r="L110">
        <f>'All Points'!Y23</f>
        <v>582818</v>
      </c>
      <c r="M110">
        <f>'All Points'!Z23</f>
        <v>600928</v>
      </c>
    </row>
    <row r="111" spans="1:13">
      <c r="A111" s="29">
        <v>110</v>
      </c>
      <c r="B111">
        <f>'All Points'!K34</f>
        <v>582704</v>
      </c>
      <c r="C111">
        <f>'All Points'!L34</f>
        <v>600939</v>
      </c>
      <c r="D111">
        <f>'All Points'!K44</f>
        <v>582710</v>
      </c>
      <c r="E111">
        <f>'All Points'!L44</f>
        <v>600945</v>
      </c>
      <c r="F111" s="42">
        <f>'All Points'!K54</f>
        <v>582704</v>
      </c>
      <c r="G111" s="42">
        <f>'All Points'!L54</f>
        <v>600931</v>
      </c>
      <c r="H111">
        <f>'All Points'!R14</f>
        <v>582786</v>
      </c>
      <c r="I111" s="14">
        <f>'All Points'!S14</f>
        <v>600915</v>
      </c>
      <c r="J111">
        <f>'All Points'!R34</f>
        <v>582781</v>
      </c>
      <c r="K111">
        <f>'All Points'!S34</f>
        <v>600917</v>
      </c>
      <c r="L111">
        <f>'All Points'!Y24</f>
        <v>582796</v>
      </c>
      <c r="M111">
        <f>'All Points'!Z24</f>
        <v>600919</v>
      </c>
    </row>
    <row r="112" spans="1:13">
      <c r="A112" s="29">
        <v>111</v>
      </c>
      <c r="B112">
        <f>'All Points'!K35</f>
        <v>582740</v>
      </c>
      <c r="C112">
        <f>'All Points'!L35</f>
        <v>600946</v>
      </c>
      <c r="D112">
        <f>'All Points'!K45</f>
        <v>582728</v>
      </c>
      <c r="E112">
        <f>'All Points'!L45</f>
        <v>600921</v>
      </c>
      <c r="F112" s="42">
        <f>'All Points'!K55</f>
        <v>582739</v>
      </c>
      <c r="G112" s="42">
        <f>'All Points'!L55</f>
        <v>600936</v>
      </c>
      <c r="H112">
        <f>'All Points'!R15</f>
        <v>582766</v>
      </c>
      <c r="I112" s="14">
        <f>'All Points'!S15</f>
        <v>600929</v>
      </c>
      <c r="J112">
        <f>'All Points'!R35</f>
        <v>582784</v>
      </c>
      <c r="K112">
        <f>'All Points'!S35</f>
        <v>600942</v>
      </c>
      <c r="L112">
        <f>'All Points'!Y25</f>
        <v>582805</v>
      </c>
      <c r="M112">
        <f>'All Points'!Z25</f>
        <v>600922</v>
      </c>
    </row>
    <row r="113" spans="1:17">
      <c r="A113" s="29">
        <v>112</v>
      </c>
      <c r="B113">
        <f>'All Points'!K36</f>
        <v>582735</v>
      </c>
      <c r="C113">
        <f>'All Points'!L36</f>
        <v>600916</v>
      </c>
      <c r="D113">
        <f>'All Points'!K46</f>
        <v>582724</v>
      </c>
      <c r="E113">
        <f>'All Points'!L46</f>
        <v>600919</v>
      </c>
      <c r="F113" s="42">
        <f>'All Points'!K56</f>
        <v>582719</v>
      </c>
      <c r="G113" s="42">
        <f>'All Points'!L56</f>
        <v>600951</v>
      </c>
      <c r="H113">
        <f>'All Points'!R16</f>
        <v>582773</v>
      </c>
      <c r="I113" s="14">
        <f>'All Points'!S16</f>
        <v>600950</v>
      </c>
      <c r="J113">
        <f>'All Points'!R36</f>
        <v>582756</v>
      </c>
      <c r="K113">
        <f>'All Points'!S36</f>
        <v>600944</v>
      </c>
      <c r="L113">
        <f>'All Points'!Y26</f>
        <v>582833</v>
      </c>
      <c r="M113">
        <f>'All Points'!Z26</f>
        <v>600933</v>
      </c>
    </row>
    <row r="114" spans="1:17">
      <c r="A114" s="29">
        <v>113</v>
      </c>
      <c r="B114">
        <f>'All Points'!K37</f>
        <v>582713</v>
      </c>
      <c r="C114">
        <f>'All Points'!L37</f>
        <v>600938</v>
      </c>
      <c r="D114">
        <f>'All Points'!K47</f>
        <v>582738</v>
      </c>
      <c r="E114">
        <f>'All Points'!L47</f>
        <v>600919</v>
      </c>
      <c r="F114" s="42">
        <f>'All Points'!K57</f>
        <v>582713</v>
      </c>
      <c r="G114" s="42">
        <f>'All Points'!L57</f>
        <v>600934</v>
      </c>
      <c r="H114">
        <f>'All Points'!R17</f>
        <v>582786</v>
      </c>
      <c r="I114" s="14">
        <f>'All Points'!S17</f>
        <v>600918</v>
      </c>
      <c r="J114">
        <f>'All Points'!R37</f>
        <v>582792</v>
      </c>
      <c r="K114">
        <f>'All Points'!S37</f>
        <v>600913</v>
      </c>
      <c r="L114">
        <f>'All Points'!Y27</f>
        <v>582805</v>
      </c>
      <c r="M114">
        <f>'All Points'!Z27</f>
        <v>600926</v>
      </c>
    </row>
    <row r="115" spans="1:17">
      <c r="A115" s="29">
        <v>114</v>
      </c>
      <c r="B115">
        <f>'All Points'!K38</f>
        <v>582725</v>
      </c>
      <c r="C115">
        <f>'All Points'!L38</f>
        <v>600918</v>
      </c>
      <c r="D115">
        <f>'All Points'!K48</f>
        <v>582740</v>
      </c>
      <c r="E115">
        <f>'All Points'!L48</f>
        <v>600951</v>
      </c>
      <c r="F115" s="42">
        <f>'All Points'!K58</f>
        <v>582745</v>
      </c>
      <c r="G115" s="42">
        <f>'All Points'!L58</f>
        <v>600926</v>
      </c>
      <c r="H115">
        <f>'All Points'!R18</f>
        <v>582746</v>
      </c>
      <c r="I115" s="14">
        <f>'All Points'!S18</f>
        <v>600949</v>
      </c>
      <c r="J115">
        <f>'All Points'!R38</f>
        <v>582783</v>
      </c>
      <c r="K115">
        <f>'All Points'!S38</f>
        <v>600931</v>
      </c>
      <c r="L115">
        <f>'All Points'!Y28</f>
        <v>582822</v>
      </c>
      <c r="M115">
        <f>'All Points'!Z28</f>
        <v>600945</v>
      </c>
    </row>
    <row r="116" spans="1:17">
      <c r="A116" s="29">
        <v>115</v>
      </c>
      <c r="B116">
        <f>'All Points'!K39</f>
        <v>582727</v>
      </c>
      <c r="C116">
        <f>'All Points'!L39</f>
        <v>600937</v>
      </c>
      <c r="D116">
        <f>'All Points'!K49</f>
        <v>582741</v>
      </c>
      <c r="E116">
        <f>'All Points'!L49</f>
        <v>600918</v>
      </c>
      <c r="F116" s="42">
        <f>'All Points'!K59</f>
        <v>582724</v>
      </c>
      <c r="G116" s="42">
        <f>'All Points'!L59</f>
        <v>600921</v>
      </c>
      <c r="H116">
        <f>'All Points'!R19</f>
        <v>582794</v>
      </c>
      <c r="I116" s="14">
        <f>'All Points'!S19</f>
        <v>600936</v>
      </c>
      <c r="J116">
        <f>'All Points'!R39</f>
        <v>582772</v>
      </c>
      <c r="K116">
        <f>'All Points'!S39</f>
        <v>600930</v>
      </c>
      <c r="L116">
        <f>'All Points'!Y29</f>
        <v>582836</v>
      </c>
      <c r="M116">
        <f>'All Points'!Z29</f>
        <v>600920</v>
      </c>
    </row>
    <row r="117" spans="1:17">
      <c r="A117" s="29">
        <v>116</v>
      </c>
      <c r="B117">
        <f>'All Points'!K40</f>
        <v>582731</v>
      </c>
      <c r="C117">
        <f>'All Points'!L40</f>
        <v>600924</v>
      </c>
      <c r="D117">
        <f>'All Points'!K50</f>
        <v>582715</v>
      </c>
      <c r="E117">
        <f>'All Points'!L50</f>
        <v>600927</v>
      </c>
      <c r="F117" s="42">
        <f>'All Points'!K60</f>
        <v>582698</v>
      </c>
      <c r="G117" s="42">
        <f>'All Points'!L60</f>
        <v>600915</v>
      </c>
      <c r="H117">
        <f>'All Points'!R20</f>
        <v>582795</v>
      </c>
      <c r="I117" s="14">
        <f>'All Points'!S20</f>
        <v>600913</v>
      </c>
      <c r="J117">
        <f>'All Points'!R40</f>
        <v>582761</v>
      </c>
      <c r="K117">
        <f>'All Points'!S40</f>
        <v>600922</v>
      </c>
      <c r="L117">
        <f>'All Points'!Y30</f>
        <v>582845</v>
      </c>
      <c r="M117">
        <f>'All Points'!Z30</f>
        <v>600921</v>
      </c>
    </row>
    <row r="118" spans="1:17">
      <c r="A118" s="29">
        <v>117</v>
      </c>
      <c r="B118">
        <f>'All Points'!K41</f>
        <v>582727</v>
      </c>
      <c r="C118">
        <f>'All Points'!L41</f>
        <v>600935</v>
      </c>
      <c r="D118">
        <f>'All Points'!K51</f>
        <v>582726</v>
      </c>
      <c r="E118">
        <f>'All Points'!L51</f>
        <v>600925</v>
      </c>
      <c r="F118" s="42">
        <f>'All Points'!K61</f>
        <v>582711</v>
      </c>
      <c r="G118" s="42">
        <f>'All Points'!L61</f>
        <v>600922</v>
      </c>
      <c r="H118">
        <f>'All Points'!R21</f>
        <v>582766</v>
      </c>
      <c r="I118" s="14">
        <f>'All Points'!S21</f>
        <v>600946</v>
      </c>
      <c r="J118">
        <f>'All Points'!R41</f>
        <v>582755</v>
      </c>
      <c r="K118">
        <f>'All Points'!S41</f>
        <v>600951</v>
      </c>
      <c r="L118">
        <f>'All Points'!Y31</f>
        <v>582803</v>
      </c>
      <c r="M118">
        <f>'All Points'!Z31</f>
        <v>600917</v>
      </c>
    </row>
    <row r="119" spans="1:17">
      <c r="A119" s="29">
        <v>118</v>
      </c>
      <c r="B119">
        <f>'All Points'!K42</f>
        <v>582727</v>
      </c>
      <c r="C119">
        <f>'All Points'!L42</f>
        <v>600933</v>
      </c>
      <c r="D119">
        <f>'All Points'!K52</f>
        <v>582720</v>
      </c>
      <c r="E119">
        <f>'All Points'!L52</f>
        <v>600918</v>
      </c>
      <c r="F119" s="42">
        <f>'All Points'!K62</f>
        <v>582706</v>
      </c>
      <c r="G119" s="42">
        <f>'All Points'!L62</f>
        <v>600935</v>
      </c>
      <c r="H119">
        <f>'All Points'!R22</f>
        <v>582774</v>
      </c>
      <c r="I119" s="14">
        <f>'All Points'!S22</f>
        <v>600921</v>
      </c>
      <c r="J119">
        <f>'All Points'!R42</f>
        <v>582747</v>
      </c>
      <c r="K119">
        <f>'All Points'!S42</f>
        <v>600925</v>
      </c>
      <c r="L119">
        <f>'All Points'!Y32</f>
        <v>582827</v>
      </c>
      <c r="M119">
        <f>'All Points'!Z32</f>
        <v>600939</v>
      </c>
    </row>
    <row r="120" spans="1:17">
      <c r="A120" s="29">
        <v>119</v>
      </c>
      <c r="B120">
        <f>'All Points'!K43</f>
        <v>582732</v>
      </c>
      <c r="C120">
        <f>'All Points'!L43</f>
        <v>600932</v>
      </c>
      <c r="D120">
        <f>'All Points'!K53</f>
        <v>582706</v>
      </c>
      <c r="E120">
        <f>'All Points'!L53</f>
        <v>600946</v>
      </c>
      <c r="F120" s="42">
        <f>'All Points'!K63</f>
        <v>582697</v>
      </c>
      <c r="G120" s="42">
        <f>'All Points'!L63</f>
        <v>600951</v>
      </c>
      <c r="H120">
        <f>'All Points'!R23</f>
        <v>582773</v>
      </c>
      <c r="I120" s="14">
        <f>'All Points'!S23</f>
        <v>600916</v>
      </c>
      <c r="J120">
        <f>'All Points'!R43</f>
        <v>582771</v>
      </c>
      <c r="K120">
        <f>'All Points'!S43</f>
        <v>600915</v>
      </c>
      <c r="L120">
        <f>'All Points'!Y33</f>
        <v>582795</v>
      </c>
      <c r="M120">
        <f>'All Points'!Z33</f>
        <v>600928</v>
      </c>
    </row>
    <row r="121" spans="1:17" s="42" customFormat="1">
      <c r="A121" s="46">
        <v>120</v>
      </c>
      <c r="B121" s="42">
        <f>'All Points'!K44</f>
        <v>582710</v>
      </c>
      <c r="C121" s="42">
        <f>'All Points'!L44</f>
        <v>600945</v>
      </c>
      <c r="D121">
        <f>'All Points'!K54</f>
        <v>582704</v>
      </c>
      <c r="E121">
        <f>'All Points'!L54</f>
        <v>600931</v>
      </c>
      <c r="F121" s="42">
        <f>'All Points'!K64</f>
        <v>582746</v>
      </c>
      <c r="G121" s="42">
        <f>'All Points'!L64</f>
        <v>600922</v>
      </c>
      <c r="H121" s="42">
        <f>'All Points'!R24</f>
        <v>582773</v>
      </c>
      <c r="I121" s="47">
        <f>'All Points'!S24</f>
        <v>600926</v>
      </c>
      <c r="J121" s="42">
        <f>'All Points'!R44</f>
        <v>582781</v>
      </c>
      <c r="K121" s="42">
        <f>'All Points'!S44</f>
        <v>600931</v>
      </c>
      <c r="L121" s="42">
        <f>'All Points'!Y34</f>
        <v>582826</v>
      </c>
      <c r="M121" s="42">
        <f>'All Points'!Z34</f>
        <v>600935</v>
      </c>
      <c r="O121" s="47"/>
      <c r="Q121" s="47"/>
    </row>
    <row r="122" spans="1:17">
      <c r="A122" s="29">
        <v>121</v>
      </c>
      <c r="B122">
        <f>'All Points'!K45</f>
        <v>582728</v>
      </c>
      <c r="C122">
        <f>'All Points'!L45</f>
        <v>600921</v>
      </c>
      <c r="D122">
        <f>'All Points'!K55</f>
        <v>582739</v>
      </c>
      <c r="E122">
        <f>'All Points'!L55</f>
        <v>600936</v>
      </c>
      <c r="F122">
        <f>'All Points'!R5</f>
        <v>582786</v>
      </c>
      <c r="G122" s="14">
        <f>'All Points'!S5</f>
        <v>600936</v>
      </c>
      <c r="H122">
        <f>'All Points'!R25</f>
        <v>582780</v>
      </c>
      <c r="I122" s="14">
        <f>'All Points'!S25</f>
        <v>600932</v>
      </c>
      <c r="J122">
        <f>'All Points'!Y5</f>
        <v>582824</v>
      </c>
      <c r="K122">
        <f>'All Points'!Z5</f>
        <v>600914</v>
      </c>
    </row>
    <row r="123" spans="1:17">
      <c r="A123" s="29">
        <v>122</v>
      </c>
      <c r="B123">
        <f>'All Points'!K46</f>
        <v>582724</v>
      </c>
      <c r="C123">
        <f>'All Points'!L46</f>
        <v>600919</v>
      </c>
      <c r="D123">
        <f>'All Points'!K56</f>
        <v>582719</v>
      </c>
      <c r="E123">
        <f>'All Points'!L56</f>
        <v>600951</v>
      </c>
      <c r="F123">
        <f>'All Points'!R6</f>
        <v>582766</v>
      </c>
      <c r="G123" s="14">
        <f>'All Points'!S6</f>
        <v>600916</v>
      </c>
      <c r="H123">
        <f>'All Points'!R26</f>
        <v>582796</v>
      </c>
      <c r="I123" s="14">
        <f>'All Points'!S26</f>
        <v>600943</v>
      </c>
      <c r="J123">
        <f>'All Points'!Y6</f>
        <v>582813</v>
      </c>
      <c r="K123">
        <f>'All Points'!Z6</f>
        <v>600940</v>
      </c>
    </row>
    <row r="124" spans="1:17">
      <c r="A124" s="29">
        <v>123</v>
      </c>
      <c r="B124">
        <f>'All Points'!K47</f>
        <v>582738</v>
      </c>
      <c r="C124">
        <f>'All Points'!L47</f>
        <v>600919</v>
      </c>
      <c r="D124">
        <f>'All Points'!K57</f>
        <v>582713</v>
      </c>
      <c r="E124">
        <f>'All Points'!L57</f>
        <v>600934</v>
      </c>
      <c r="F124">
        <f>'All Points'!R7</f>
        <v>582755</v>
      </c>
      <c r="G124" s="14">
        <f>'All Points'!S7</f>
        <v>600932</v>
      </c>
      <c r="H124">
        <f>'All Points'!R27</f>
        <v>582766</v>
      </c>
      <c r="I124" s="14">
        <f>'All Points'!S27</f>
        <v>600922</v>
      </c>
      <c r="J124">
        <f>'All Points'!Y7</f>
        <v>582820</v>
      </c>
      <c r="K124">
        <f>'All Points'!Z7</f>
        <v>600920</v>
      </c>
    </row>
    <row r="125" spans="1:17">
      <c r="A125" s="29">
        <v>124</v>
      </c>
      <c r="B125">
        <f>'All Points'!K48</f>
        <v>582740</v>
      </c>
      <c r="C125">
        <f>'All Points'!L48</f>
        <v>600951</v>
      </c>
      <c r="D125">
        <f>'All Points'!K58</f>
        <v>582745</v>
      </c>
      <c r="E125">
        <f>'All Points'!L58</f>
        <v>600926</v>
      </c>
      <c r="F125">
        <f>'All Points'!R8</f>
        <v>582776</v>
      </c>
      <c r="G125" s="14">
        <f>'All Points'!S8</f>
        <v>600941</v>
      </c>
      <c r="H125">
        <f>'All Points'!R28</f>
        <v>582760</v>
      </c>
      <c r="I125" s="14">
        <f>'All Points'!S28</f>
        <v>600930</v>
      </c>
      <c r="J125">
        <f>'All Points'!Y8</f>
        <v>582840</v>
      </c>
      <c r="K125">
        <f>'All Points'!Z8</f>
        <v>600941</v>
      </c>
    </row>
    <row r="126" spans="1:17">
      <c r="A126" s="29">
        <v>125</v>
      </c>
      <c r="B126">
        <f>'All Points'!K49</f>
        <v>582741</v>
      </c>
      <c r="C126">
        <f>'All Points'!L49</f>
        <v>600918</v>
      </c>
      <c r="D126">
        <f>'All Points'!K59</f>
        <v>582724</v>
      </c>
      <c r="E126">
        <f>'All Points'!L59</f>
        <v>600921</v>
      </c>
      <c r="F126">
        <f>'All Points'!R9</f>
        <v>582776</v>
      </c>
      <c r="G126" s="14">
        <f>'All Points'!S9</f>
        <v>600918</v>
      </c>
      <c r="H126">
        <f>'All Points'!R29</f>
        <v>582777</v>
      </c>
      <c r="I126" s="14">
        <f>'All Points'!S29</f>
        <v>600919</v>
      </c>
      <c r="J126">
        <f>'All Points'!Y9</f>
        <v>582829</v>
      </c>
      <c r="K126">
        <f>'All Points'!Z9</f>
        <v>600942</v>
      </c>
    </row>
    <row r="127" spans="1:17">
      <c r="A127" s="29">
        <v>126</v>
      </c>
      <c r="B127">
        <f>'All Points'!K50</f>
        <v>582715</v>
      </c>
      <c r="C127">
        <f>'All Points'!L50</f>
        <v>600927</v>
      </c>
      <c r="D127">
        <f>'All Points'!K60</f>
        <v>582698</v>
      </c>
      <c r="E127">
        <f>'All Points'!L60</f>
        <v>600915</v>
      </c>
      <c r="F127">
        <f>'All Points'!R10</f>
        <v>582758</v>
      </c>
      <c r="G127" s="14">
        <f>'All Points'!S10</f>
        <v>600912</v>
      </c>
      <c r="H127">
        <f>'All Points'!R30</f>
        <v>582776</v>
      </c>
      <c r="I127" s="14">
        <f>'All Points'!S30</f>
        <v>600945</v>
      </c>
      <c r="J127">
        <f>'All Points'!Y10</f>
        <v>582835</v>
      </c>
      <c r="K127">
        <f>'All Points'!Z10</f>
        <v>600918</v>
      </c>
    </row>
    <row r="128" spans="1:17">
      <c r="A128" s="29">
        <v>127</v>
      </c>
      <c r="B128">
        <f>'All Points'!K51</f>
        <v>582726</v>
      </c>
      <c r="C128">
        <f>'All Points'!L51</f>
        <v>600925</v>
      </c>
      <c r="D128">
        <f>'All Points'!K61</f>
        <v>582711</v>
      </c>
      <c r="E128">
        <f>'All Points'!L61</f>
        <v>600922</v>
      </c>
      <c r="F128">
        <f>'All Points'!R11</f>
        <v>582765</v>
      </c>
      <c r="G128" s="14">
        <f>'All Points'!S11</f>
        <v>600944</v>
      </c>
      <c r="H128">
        <f>'All Points'!R31</f>
        <v>582747</v>
      </c>
      <c r="I128" s="14">
        <f>'All Points'!S31</f>
        <v>600931</v>
      </c>
      <c r="J128">
        <f>'All Points'!Y11</f>
        <v>582830</v>
      </c>
      <c r="K128">
        <f>'All Points'!Z11</f>
        <v>600932</v>
      </c>
    </row>
    <row r="129" spans="1:11">
      <c r="A129" s="29">
        <v>128</v>
      </c>
      <c r="B129">
        <f>'All Points'!K52</f>
        <v>582720</v>
      </c>
      <c r="C129">
        <f>'All Points'!L52</f>
        <v>600918</v>
      </c>
      <c r="D129">
        <f>'All Points'!K62</f>
        <v>582706</v>
      </c>
      <c r="E129">
        <f>'All Points'!L62</f>
        <v>600935</v>
      </c>
      <c r="F129">
        <f>'All Points'!R12</f>
        <v>582788</v>
      </c>
      <c r="G129" s="14">
        <f>'All Points'!S12</f>
        <v>600943</v>
      </c>
      <c r="H129">
        <f>'All Points'!R32</f>
        <v>582783</v>
      </c>
      <c r="I129" s="14">
        <f>'All Points'!S32</f>
        <v>600924</v>
      </c>
      <c r="J129">
        <f>'All Points'!Y12</f>
        <v>582845</v>
      </c>
      <c r="K129">
        <f>'All Points'!Z12</f>
        <v>600911</v>
      </c>
    </row>
    <row r="130" spans="1:11">
      <c r="A130" s="29">
        <v>129</v>
      </c>
      <c r="B130">
        <f>'All Points'!K53</f>
        <v>582706</v>
      </c>
      <c r="C130">
        <f>'All Points'!L53</f>
        <v>600946</v>
      </c>
      <c r="D130">
        <f>'All Points'!K63</f>
        <v>582697</v>
      </c>
      <c r="E130">
        <f>'All Points'!L63</f>
        <v>600951</v>
      </c>
      <c r="F130">
        <f>'All Points'!R13</f>
        <v>582774</v>
      </c>
      <c r="G130" s="14">
        <f>'All Points'!S13</f>
        <v>600913</v>
      </c>
      <c r="H130">
        <f>'All Points'!R33</f>
        <v>582796</v>
      </c>
      <c r="I130" s="14">
        <f>'All Points'!S33</f>
        <v>600936</v>
      </c>
      <c r="J130">
        <f>'All Points'!Y13</f>
        <v>582825</v>
      </c>
      <c r="K130">
        <f>'All Points'!Z13</f>
        <v>600933</v>
      </c>
    </row>
    <row r="131" spans="1:11">
      <c r="A131" s="29">
        <v>130</v>
      </c>
      <c r="B131">
        <f>'All Points'!K54</f>
        <v>582704</v>
      </c>
      <c r="C131">
        <f>'All Points'!L54</f>
        <v>600931</v>
      </c>
      <c r="D131">
        <f>'All Points'!K64</f>
        <v>582746</v>
      </c>
      <c r="E131">
        <f>'All Points'!L64</f>
        <v>600922</v>
      </c>
      <c r="F131">
        <f>'All Points'!R14</f>
        <v>582786</v>
      </c>
      <c r="G131" s="14">
        <f>'All Points'!S14</f>
        <v>600915</v>
      </c>
      <c r="H131">
        <f>'All Points'!R34</f>
        <v>582781</v>
      </c>
      <c r="I131" s="14">
        <f>'All Points'!S34</f>
        <v>600917</v>
      </c>
      <c r="J131">
        <f>'All Points'!Y14</f>
        <v>582796</v>
      </c>
      <c r="K131">
        <f>'All Points'!Z14</f>
        <v>600912</v>
      </c>
    </row>
    <row r="132" spans="1:11">
      <c r="A132" s="29">
        <v>131</v>
      </c>
      <c r="B132">
        <f>'All Points'!K55</f>
        <v>582739</v>
      </c>
      <c r="C132">
        <f>'All Points'!L55</f>
        <v>600936</v>
      </c>
      <c r="D132">
        <f>'All Points'!K65</f>
        <v>582701</v>
      </c>
      <c r="E132">
        <f>'All Points'!L65</f>
        <v>600924</v>
      </c>
      <c r="F132">
        <f>'All Points'!R15</f>
        <v>582766</v>
      </c>
      <c r="G132" s="14">
        <f>'All Points'!S15</f>
        <v>600929</v>
      </c>
      <c r="H132">
        <f>'All Points'!R35</f>
        <v>582784</v>
      </c>
      <c r="I132" s="14">
        <f>'All Points'!S35</f>
        <v>600942</v>
      </c>
      <c r="J132">
        <f>'All Points'!Y15</f>
        <v>582810</v>
      </c>
      <c r="K132">
        <f>'All Points'!Z15</f>
        <v>600940</v>
      </c>
    </row>
    <row r="133" spans="1:11">
      <c r="A133" s="29">
        <v>132</v>
      </c>
      <c r="B133">
        <f>'All Points'!K56</f>
        <v>582719</v>
      </c>
      <c r="C133">
        <f>'All Points'!L56</f>
        <v>600951</v>
      </c>
      <c r="D133">
        <f>'All Points'!K66</f>
        <v>582738</v>
      </c>
      <c r="E133">
        <f>'All Points'!L66</f>
        <v>600933</v>
      </c>
      <c r="F133">
        <f>'All Points'!R16</f>
        <v>582773</v>
      </c>
      <c r="G133" s="14">
        <f>'All Points'!S16</f>
        <v>600950</v>
      </c>
      <c r="H133">
        <f>'All Points'!R36</f>
        <v>582756</v>
      </c>
      <c r="I133" s="14">
        <f>'All Points'!S36</f>
        <v>600944</v>
      </c>
      <c r="J133">
        <f>'All Points'!Y16</f>
        <v>582803</v>
      </c>
      <c r="K133">
        <f>'All Points'!Z16</f>
        <v>600933</v>
      </c>
    </row>
    <row r="134" spans="1:11">
      <c r="A134" s="29">
        <v>133</v>
      </c>
      <c r="B134">
        <f>'All Points'!K57</f>
        <v>582713</v>
      </c>
      <c r="C134">
        <f>'All Points'!L57</f>
        <v>600934</v>
      </c>
      <c r="D134">
        <f>'All Points'!K67</f>
        <v>582705</v>
      </c>
      <c r="E134">
        <f>'All Points'!L67</f>
        <v>600943</v>
      </c>
      <c r="F134">
        <f>'All Points'!R17</f>
        <v>582786</v>
      </c>
      <c r="G134" s="14">
        <f>'All Points'!S17</f>
        <v>600918</v>
      </c>
      <c r="H134">
        <f>'All Points'!R37</f>
        <v>582792</v>
      </c>
      <c r="I134" s="14">
        <f>'All Points'!S37</f>
        <v>600913</v>
      </c>
      <c r="J134">
        <f>'All Points'!Y17</f>
        <v>582841</v>
      </c>
      <c r="K134">
        <f>'All Points'!Z17</f>
        <v>600941</v>
      </c>
    </row>
    <row r="135" spans="1:11">
      <c r="A135" s="29">
        <v>134</v>
      </c>
      <c r="B135">
        <f>'All Points'!K58</f>
        <v>582745</v>
      </c>
      <c r="C135">
        <f>'All Points'!L58</f>
        <v>600926</v>
      </c>
      <c r="D135">
        <f>'All Points'!K68</f>
        <v>582695</v>
      </c>
      <c r="E135">
        <f>'All Points'!L68</f>
        <v>600925</v>
      </c>
      <c r="F135">
        <f>'All Points'!R18</f>
        <v>582746</v>
      </c>
      <c r="G135" s="14">
        <f>'All Points'!S18</f>
        <v>600949</v>
      </c>
      <c r="H135">
        <f>'All Points'!R38</f>
        <v>582783</v>
      </c>
      <c r="I135" s="14">
        <f>'All Points'!S38</f>
        <v>600931</v>
      </c>
      <c r="J135">
        <f>'All Points'!Y18</f>
        <v>582808</v>
      </c>
      <c r="K135">
        <f>'All Points'!Z18</f>
        <v>600925</v>
      </c>
    </row>
    <row r="136" spans="1:11">
      <c r="A136" s="29">
        <v>135</v>
      </c>
      <c r="B136">
        <f>'All Points'!K59</f>
        <v>582724</v>
      </c>
      <c r="C136">
        <f>'All Points'!L59</f>
        <v>600921</v>
      </c>
      <c r="D136">
        <f>'All Points'!K69</f>
        <v>582703</v>
      </c>
      <c r="E136">
        <f>'All Points'!L69</f>
        <v>600943</v>
      </c>
      <c r="F136">
        <f>'All Points'!R19</f>
        <v>582794</v>
      </c>
      <c r="G136" s="14">
        <f>'All Points'!S19</f>
        <v>600936</v>
      </c>
      <c r="H136">
        <f>'All Points'!R39</f>
        <v>582772</v>
      </c>
      <c r="I136" s="14">
        <f>'All Points'!S39</f>
        <v>600930</v>
      </c>
      <c r="J136">
        <f>'All Points'!Y19</f>
        <v>582822</v>
      </c>
      <c r="K136">
        <f>'All Points'!Z19</f>
        <v>600913</v>
      </c>
    </row>
    <row r="137" spans="1:11">
      <c r="A137" s="29">
        <v>136</v>
      </c>
      <c r="B137">
        <f>'All Points'!K60</f>
        <v>582698</v>
      </c>
      <c r="C137">
        <f>'All Points'!L60</f>
        <v>600915</v>
      </c>
      <c r="D137">
        <f>'All Points'!K70</f>
        <v>582725</v>
      </c>
      <c r="E137">
        <f>'All Points'!L70</f>
        <v>600921</v>
      </c>
      <c r="F137">
        <f>'All Points'!R20</f>
        <v>582795</v>
      </c>
      <c r="G137" s="14">
        <f>'All Points'!S20</f>
        <v>600913</v>
      </c>
      <c r="H137">
        <f>'All Points'!R40</f>
        <v>582761</v>
      </c>
      <c r="I137" s="14">
        <f>'All Points'!S40</f>
        <v>600922</v>
      </c>
      <c r="J137">
        <f>'All Points'!Y20</f>
        <v>582840</v>
      </c>
      <c r="K137">
        <f>'All Points'!Z20</f>
        <v>600917</v>
      </c>
    </row>
    <row r="138" spans="1:11">
      <c r="A138" s="29">
        <v>137</v>
      </c>
      <c r="B138">
        <f>'All Points'!K61</f>
        <v>582711</v>
      </c>
      <c r="C138">
        <f>'All Points'!L61</f>
        <v>600922</v>
      </c>
      <c r="D138">
        <f>'All Points'!K71</f>
        <v>582737</v>
      </c>
      <c r="E138">
        <f>'All Points'!L71</f>
        <v>600934</v>
      </c>
      <c r="F138">
        <f>'All Points'!R21</f>
        <v>582766</v>
      </c>
      <c r="G138" s="14">
        <f>'All Points'!S21</f>
        <v>600946</v>
      </c>
      <c r="H138">
        <f>'All Points'!R41</f>
        <v>582755</v>
      </c>
      <c r="I138" s="14">
        <f>'All Points'!S41</f>
        <v>600951</v>
      </c>
      <c r="J138">
        <f>'All Points'!Y21</f>
        <v>582843</v>
      </c>
      <c r="K138">
        <f>'All Points'!Z21</f>
        <v>600934</v>
      </c>
    </row>
    <row r="139" spans="1:11">
      <c r="A139" s="29">
        <v>138</v>
      </c>
      <c r="B139">
        <f>'All Points'!K62</f>
        <v>582706</v>
      </c>
      <c r="C139">
        <f>'All Points'!L62</f>
        <v>600935</v>
      </c>
      <c r="D139">
        <f>'All Points'!K72</f>
        <v>582740</v>
      </c>
      <c r="E139">
        <f>'All Points'!L72</f>
        <v>600945</v>
      </c>
      <c r="F139">
        <f>'All Points'!R22</f>
        <v>582774</v>
      </c>
      <c r="G139" s="14">
        <f>'All Points'!S22</f>
        <v>600921</v>
      </c>
      <c r="H139">
        <f>'All Points'!R42</f>
        <v>582747</v>
      </c>
      <c r="I139" s="14">
        <f>'All Points'!S42</f>
        <v>600925</v>
      </c>
      <c r="J139">
        <f>'All Points'!Y22</f>
        <v>582805</v>
      </c>
      <c r="K139">
        <f>'All Points'!Z22</f>
        <v>600934</v>
      </c>
    </row>
    <row r="140" spans="1:11">
      <c r="A140" s="29">
        <v>139</v>
      </c>
      <c r="B140">
        <f>'All Points'!K63</f>
        <v>582697</v>
      </c>
      <c r="C140">
        <f>'All Points'!L63</f>
        <v>600951</v>
      </c>
      <c r="D140">
        <f>'All Points'!K73</f>
        <v>582730</v>
      </c>
      <c r="E140">
        <f>'All Points'!L73</f>
        <v>600944</v>
      </c>
      <c r="F140">
        <f>'All Points'!R23</f>
        <v>582773</v>
      </c>
      <c r="G140" s="14">
        <f>'All Points'!S23</f>
        <v>600916</v>
      </c>
      <c r="H140">
        <f>'All Points'!R43</f>
        <v>582771</v>
      </c>
      <c r="I140" s="14">
        <f>'All Points'!S43</f>
        <v>600915</v>
      </c>
      <c r="J140">
        <f>'All Points'!Y23</f>
        <v>582818</v>
      </c>
      <c r="K140">
        <f>'All Points'!Z23</f>
        <v>600928</v>
      </c>
    </row>
    <row r="141" spans="1:11">
      <c r="A141" s="29">
        <v>140</v>
      </c>
      <c r="B141">
        <f>'All Points'!K64</f>
        <v>582746</v>
      </c>
      <c r="C141">
        <f>'All Points'!L64</f>
        <v>600922</v>
      </c>
      <c r="D141">
        <f>'All Points'!K74</f>
        <v>582711</v>
      </c>
      <c r="E141">
        <f>'All Points'!L74</f>
        <v>600947</v>
      </c>
      <c r="F141">
        <f>'All Points'!R24</f>
        <v>582773</v>
      </c>
      <c r="G141" s="14">
        <f>'All Points'!S24</f>
        <v>600926</v>
      </c>
      <c r="H141">
        <f>'All Points'!R44</f>
        <v>582781</v>
      </c>
      <c r="I141" s="14">
        <f>'All Points'!S44</f>
        <v>600931</v>
      </c>
      <c r="J141">
        <f>'All Points'!Y24</f>
        <v>582796</v>
      </c>
      <c r="K141">
        <f>'All Points'!Z24</f>
        <v>600919</v>
      </c>
    </row>
    <row r="142" spans="1:11">
      <c r="A142" s="29">
        <v>141</v>
      </c>
      <c r="B142">
        <f>'All Points'!K65</f>
        <v>582701</v>
      </c>
      <c r="C142">
        <f>'All Points'!L65</f>
        <v>600924</v>
      </c>
      <c r="D142">
        <f>'All Points'!R5</f>
        <v>582786</v>
      </c>
      <c r="E142">
        <f>'All Points'!S5</f>
        <v>600936</v>
      </c>
      <c r="F142">
        <f>'All Points'!R25</f>
        <v>582780</v>
      </c>
      <c r="G142" s="14">
        <f>'All Points'!S25</f>
        <v>600932</v>
      </c>
      <c r="H142">
        <f>'All Points'!R45</f>
        <v>582767</v>
      </c>
      <c r="I142" s="14">
        <f>'All Points'!S45</f>
        <v>600939</v>
      </c>
      <c r="J142">
        <f>'All Points'!Y25</f>
        <v>582805</v>
      </c>
      <c r="K142">
        <f>'All Points'!Z25</f>
        <v>600922</v>
      </c>
    </row>
    <row r="143" spans="1:11">
      <c r="A143" s="29">
        <v>142</v>
      </c>
      <c r="B143">
        <f>'All Points'!K66</f>
        <v>582738</v>
      </c>
      <c r="C143">
        <f>'All Points'!L66</f>
        <v>600933</v>
      </c>
      <c r="D143">
        <f>'All Points'!R6</f>
        <v>582766</v>
      </c>
      <c r="E143">
        <f>'All Points'!S6</f>
        <v>600916</v>
      </c>
      <c r="F143">
        <f>'All Points'!R26</f>
        <v>582796</v>
      </c>
      <c r="G143" s="14">
        <f>'All Points'!S26</f>
        <v>600943</v>
      </c>
      <c r="H143">
        <f>'All Points'!R46</f>
        <v>582745</v>
      </c>
      <c r="I143" s="14">
        <f>'All Points'!S46</f>
        <v>600912</v>
      </c>
      <c r="J143">
        <f>'All Points'!Y26</f>
        <v>582833</v>
      </c>
      <c r="K143">
        <f>'All Points'!Z26</f>
        <v>600933</v>
      </c>
    </row>
    <row r="144" spans="1:11">
      <c r="A144" s="29">
        <v>143</v>
      </c>
      <c r="B144">
        <f>'All Points'!K67</f>
        <v>582705</v>
      </c>
      <c r="C144">
        <f>'All Points'!L67</f>
        <v>600943</v>
      </c>
      <c r="D144">
        <f>'All Points'!R7</f>
        <v>582755</v>
      </c>
      <c r="E144">
        <f>'All Points'!S7</f>
        <v>600932</v>
      </c>
      <c r="F144">
        <f>'All Points'!R27</f>
        <v>582766</v>
      </c>
      <c r="G144" s="14">
        <f>'All Points'!S27</f>
        <v>600922</v>
      </c>
      <c r="H144">
        <f>'All Points'!R47</f>
        <v>582784</v>
      </c>
      <c r="I144" s="14">
        <f>'All Points'!S47</f>
        <v>600933</v>
      </c>
      <c r="J144">
        <f>'All Points'!Y27</f>
        <v>582805</v>
      </c>
      <c r="K144">
        <f>'All Points'!Z27</f>
        <v>600926</v>
      </c>
    </row>
    <row r="145" spans="1:11">
      <c r="A145" s="29">
        <v>144</v>
      </c>
      <c r="B145">
        <f>'All Points'!K68</f>
        <v>582695</v>
      </c>
      <c r="C145">
        <f>'All Points'!L68</f>
        <v>600925</v>
      </c>
      <c r="D145">
        <f>'All Points'!R8</f>
        <v>582776</v>
      </c>
      <c r="E145">
        <f>'All Points'!S8</f>
        <v>600941</v>
      </c>
      <c r="F145">
        <f>'All Points'!R28</f>
        <v>582760</v>
      </c>
      <c r="G145" s="14">
        <f>'All Points'!S28</f>
        <v>600930</v>
      </c>
      <c r="H145">
        <f>'All Points'!R48</f>
        <v>582794</v>
      </c>
      <c r="I145" s="14">
        <f>'All Points'!S48</f>
        <v>600920</v>
      </c>
      <c r="J145">
        <f>'All Points'!Y28</f>
        <v>582822</v>
      </c>
      <c r="K145">
        <f>'All Points'!Z28</f>
        <v>600945</v>
      </c>
    </row>
    <row r="146" spans="1:11">
      <c r="A146" s="29">
        <v>145</v>
      </c>
      <c r="B146">
        <f>'All Points'!K69</f>
        <v>582703</v>
      </c>
      <c r="C146">
        <f>'All Points'!L69</f>
        <v>600943</v>
      </c>
      <c r="D146">
        <f>'All Points'!R9</f>
        <v>582776</v>
      </c>
      <c r="E146">
        <f>'All Points'!S9</f>
        <v>600918</v>
      </c>
      <c r="F146">
        <f>'All Points'!R29</f>
        <v>582777</v>
      </c>
      <c r="G146" s="14">
        <f>'All Points'!S29</f>
        <v>600919</v>
      </c>
      <c r="H146">
        <f>'All Points'!R49</f>
        <v>582773</v>
      </c>
      <c r="I146" s="14">
        <f>'All Points'!S49</f>
        <v>600921</v>
      </c>
      <c r="J146">
        <f>'All Points'!Y29</f>
        <v>582836</v>
      </c>
      <c r="K146">
        <f>'All Points'!Z29</f>
        <v>600920</v>
      </c>
    </row>
    <row r="147" spans="1:11">
      <c r="A147" s="29">
        <v>146</v>
      </c>
      <c r="B147">
        <f>'All Points'!K70</f>
        <v>582725</v>
      </c>
      <c r="C147">
        <f>'All Points'!L70</f>
        <v>600921</v>
      </c>
      <c r="D147">
        <f>'All Points'!R10</f>
        <v>582758</v>
      </c>
      <c r="E147">
        <f>'All Points'!S10</f>
        <v>600912</v>
      </c>
      <c r="F147">
        <f>'All Points'!R30</f>
        <v>582776</v>
      </c>
      <c r="G147" s="14">
        <f>'All Points'!S30</f>
        <v>600945</v>
      </c>
      <c r="H147">
        <f>'All Points'!R50</f>
        <v>582756</v>
      </c>
      <c r="I147" s="14">
        <f>'All Points'!S50</f>
        <v>600932</v>
      </c>
      <c r="J147">
        <f>'All Points'!Y30</f>
        <v>582845</v>
      </c>
      <c r="K147">
        <f>'All Points'!Z30</f>
        <v>600921</v>
      </c>
    </row>
    <row r="148" spans="1:11">
      <c r="A148" s="29">
        <v>147</v>
      </c>
      <c r="B148">
        <f>'All Points'!K71</f>
        <v>582737</v>
      </c>
      <c r="C148">
        <f>'All Points'!L71</f>
        <v>600934</v>
      </c>
      <c r="D148">
        <f>'All Points'!R11</f>
        <v>582765</v>
      </c>
      <c r="E148">
        <f>'All Points'!S11</f>
        <v>600944</v>
      </c>
      <c r="F148">
        <f>'All Points'!R31</f>
        <v>582747</v>
      </c>
      <c r="G148" s="14">
        <f>'All Points'!S31</f>
        <v>600931</v>
      </c>
      <c r="H148">
        <f>'All Points'!R51</f>
        <v>582754</v>
      </c>
      <c r="I148" s="14">
        <f>'All Points'!S51</f>
        <v>600919</v>
      </c>
      <c r="J148">
        <f>'All Points'!Y31</f>
        <v>582803</v>
      </c>
      <c r="K148">
        <f>'All Points'!Z31</f>
        <v>600917</v>
      </c>
    </row>
    <row r="149" spans="1:11">
      <c r="A149" s="29">
        <v>148</v>
      </c>
      <c r="B149">
        <f>'All Points'!K72</f>
        <v>582740</v>
      </c>
      <c r="C149">
        <f>'All Points'!L72</f>
        <v>600945</v>
      </c>
      <c r="D149">
        <f>'All Points'!R12</f>
        <v>582788</v>
      </c>
      <c r="E149">
        <f>'All Points'!S12</f>
        <v>600943</v>
      </c>
      <c r="F149">
        <f>'All Points'!R32</f>
        <v>582783</v>
      </c>
      <c r="G149" s="14">
        <f>'All Points'!S32</f>
        <v>600924</v>
      </c>
      <c r="H149">
        <f>'All Points'!R52</f>
        <v>582793</v>
      </c>
      <c r="I149" s="14">
        <f>'All Points'!S52</f>
        <v>600921</v>
      </c>
      <c r="J149">
        <f>'All Points'!Y32</f>
        <v>582827</v>
      </c>
      <c r="K149">
        <f>'All Points'!Z32</f>
        <v>600939</v>
      </c>
    </row>
    <row r="150" spans="1:11">
      <c r="A150" s="29">
        <v>149</v>
      </c>
      <c r="B150">
        <f>'All Points'!K73</f>
        <v>582730</v>
      </c>
      <c r="C150">
        <f>'All Points'!L73</f>
        <v>600944</v>
      </c>
      <c r="D150">
        <f>'All Points'!R13</f>
        <v>582774</v>
      </c>
      <c r="E150">
        <f>'All Points'!S13</f>
        <v>600913</v>
      </c>
      <c r="F150">
        <f>'All Points'!R33</f>
        <v>582796</v>
      </c>
      <c r="G150" s="14">
        <f>'All Points'!S33</f>
        <v>600936</v>
      </c>
      <c r="H150">
        <f>'All Points'!R53</f>
        <v>582770</v>
      </c>
      <c r="I150" s="14">
        <f>'All Points'!S53</f>
        <v>600941</v>
      </c>
      <c r="J150">
        <f>'All Points'!Y33</f>
        <v>582795</v>
      </c>
      <c r="K150">
        <f>'All Points'!Z33</f>
        <v>600928</v>
      </c>
    </row>
    <row r="151" spans="1:11">
      <c r="A151" s="29">
        <v>150</v>
      </c>
      <c r="B151">
        <f>'All Points'!K74</f>
        <v>582711</v>
      </c>
      <c r="C151">
        <f>'All Points'!L74</f>
        <v>600947</v>
      </c>
      <c r="D151">
        <f>'All Points'!R14</f>
        <v>582786</v>
      </c>
      <c r="E151">
        <f>'All Points'!S14</f>
        <v>600915</v>
      </c>
      <c r="F151">
        <f>'All Points'!R34</f>
        <v>582781</v>
      </c>
      <c r="G151" s="14">
        <f>'All Points'!S34</f>
        <v>600917</v>
      </c>
      <c r="H151">
        <f>'All Points'!R54</f>
        <v>582745</v>
      </c>
      <c r="I151" s="14">
        <f>'All Points'!S54</f>
        <v>600920</v>
      </c>
      <c r="J151">
        <f>'All Points'!Y34</f>
        <v>582826</v>
      </c>
      <c r="K151">
        <f>'All Points'!Z34</f>
        <v>600935</v>
      </c>
    </row>
    <row r="152" spans="1:11">
      <c r="A152" s="29">
        <v>151</v>
      </c>
      <c r="B152">
        <f>'All Points'!K75</f>
        <v>582745</v>
      </c>
      <c r="C152">
        <f>'All Points'!L75</f>
        <v>600932</v>
      </c>
      <c r="D152">
        <f>'All Points'!R15</f>
        <v>582766</v>
      </c>
      <c r="E152">
        <f>'All Points'!S15</f>
        <v>600929</v>
      </c>
      <c r="F152">
        <f>'All Points'!R35</f>
        <v>582784</v>
      </c>
      <c r="G152" s="14">
        <f>'All Points'!S35</f>
        <v>600942</v>
      </c>
      <c r="H152">
        <f>'All Points'!Y5</f>
        <v>582824</v>
      </c>
      <c r="I152" s="14">
        <f>'All Points'!Z5</f>
        <v>600914</v>
      </c>
      <c r="J152">
        <f>'All Points'!Y35</f>
        <v>582837</v>
      </c>
      <c r="K152">
        <f>'All Points'!Z35</f>
        <v>600931</v>
      </c>
    </row>
    <row r="153" spans="1:11">
      <c r="A153" s="29">
        <v>152</v>
      </c>
      <c r="B153">
        <f>'All Points'!K76</f>
        <v>582727</v>
      </c>
      <c r="C153">
        <f>'All Points'!L76</f>
        <v>600928</v>
      </c>
      <c r="D153">
        <f>'All Points'!R16</f>
        <v>582773</v>
      </c>
      <c r="E153">
        <f>'All Points'!S16</f>
        <v>600950</v>
      </c>
      <c r="F153">
        <f>'All Points'!R36</f>
        <v>582756</v>
      </c>
      <c r="G153" s="14">
        <f>'All Points'!S36</f>
        <v>600944</v>
      </c>
      <c r="H153">
        <f>'All Points'!Y6</f>
        <v>582813</v>
      </c>
      <c r="I153" s="14">
        <f>'All Points'!Z6</f>
        <v>600940</v>
      </c>
      <c r="J153">
        <f>'All Points'!Y36</f>
        <v>582807</v>
      </c>
      <c r="K153">
        <f>'All Points'!Z36</f>
        <v>600925</v>
      </c>
    </row>
    <row r="154" spans="1:11">
      <c r="A154" s="29">
        <v>153</v>
      </c>
      <c r="B154">
        <f>'All Points'!K77</f>
        <v>582734</v>
      </c>
      <c r="C154">
        <f>'All Points'!L77</f>
        <v>600917</v>
      </c>
      <c r="D154">
        <f>'All Points'!R17</f>
        <v>582786</v>
      </c>
      <c r="E154">
        <f>'All Points'!S17</f>
        <v>600918</v>
      </c>
      <c r="F154">
        <f>'All Points'!R37</f>
        <v>582792</v>
      </c>
      <c r="G154" s="14">
        <f>'All Points'!S37</f>
        <v>600913</v>
      </c>
      <c r="H154">
        <f>'All Points'!Y7</f>
        <v>582820</v>
      </c>
      <c r="I154" s="14">
        <f>'All Points'!Z7</f>
        <v>600920</v>
      </c>
      <c r="J154">
        <f>'All Points'!Y37</f>
        <v>582841</v>
      </c>
      <c r="K154">
        <f>'All Points'!Z37</f>
        <v>600929</v>
      </c>
    </row>
    <row r="155" spans="1:11">
      <c r="A155" s="29">
        <v>154</v>
      </c>
      <c r="B155">
        <f>'All Points'!K78</f>
        <v>582701</v>
      </c>
      <c r="C155">
        <f>'All Points'!L78</f>
        <v>600933</v>
      </c>
      <c r="D155">
        <f>'All Points'!R18</f>
        <v>582746</v>
      </c>
      <c r="E155">
        <f>'All Points'!S18</f>
        <v>600949</v>
      </c>
      <c r="F155">
        <f>'All Points'!R38</f>
        <v>582783</v>
      </c>
      <c r="G155" s="14">
        <f>'All Points'!S38</f>
        <v>600931</v>
      </c>
      <c r="H155">
        <f>'All Points'!Y8</f>
        <v>582840</v>
      </c>
      <c r="I155" s="14">
        <f>'All Points'!Z8</f>
        <v>600941</v>
      </c>
      <c r="J155">
        <f>'All Points'!Y38</f>
        <v>582814</v>
      </c>
      <c r="K155">
        <f>'All Points'!Z38</f>
        <v>600926</v>
      </c>
    </row>
    <row r="156" spans="1:11">
      <c r="A156" s="29">
        <v>155</v>
      </c>
      <c r="B156">
        <f>'All Points'!K79</f>
        <v>582730</v>
      </c>
      <c r="C156">
        <f>'All Points'!L79</f>
        <v>600950</v>
      </c>
      <c r="D156">
        <f>'All Points'!R19</f>
        <v>582794</v>
      </c>
      <c r="E156">
        <f>'All Points'!S19</f>
        <v>600936</v>
      </c>
      <c r="F156">
        <f>'All Points'!R39</f>
        <v>582772</v>
      </c>
      <c r="G156" s="14">
        <f>'All Points'!S39</f>
        <v>600930</v>
      </c>
      <c r="H156">
        <f>'All Points'!Y9</f>
        <v>582829</v>
      </c>
      <c r="I156" s="14">
        <f>'All Points'!Z9</f>
        <v>600942</v>
      </c>
      <c r="J156">
        <f>'All Points'!Y39</f>
        <v>582825</v>
      </c>
      <c r="K156">
        <f>'All Points'!Z39</f>
        <v>600933</v>
      </c>
    </row>
    <row r="157" spans="1:11">
      <c r="A157" s="29">
        <v>156</v>
      </c>
      <c r="B157">
        <f>'All Points'!K80</f>
        <v>582720</v>
      </c>
      <c r="C157">
        <f>'All Points'!L80</f>
        <v>600941</v>
      </c>
      <c r="D157">
        <f>'All Points'!R20</f>
        <v>582795</v>
      </c>
      <c r="E157">
        <f>'All Points'!S20</f>
        <v>600913</v>
      </c>
      <c r="F157">
        <f>'All Points'!R40</f>
        <v>582761</v>
      </c>
      <c r="G157" s="14">
        <f>'All Points'!S40</f>
        <v>600922</v>
      </c>
      <c r="H157">
        <f>'All Points'!Y10</f>
        <v>582835</v>
      </c>
      <c r="I157" s="14">
        <f>'All Points'!Z10</f>
        <v>600918</v>
      </c>
      <c r="J157">
        <f>'All Points'!Y40</f>
        <v>582839</v>
      </c>
      <c r="K157">
        <f>'All Points'!Z40</f>
        <v>600944</v>
      </c>
    </row>
    <row r="158" spans="1:11">
      <c r="A158" s="29">
        <v>157</v>
      </c>
      <c r="B158">
        <f>'All Points'!K81</f>
        <v>582724</v>
      </c>
      <c r="C158">
        <f>'All Points'!L81</f>
        <v>600951</v>
      </c>
      <c r="D158">
        <f>'All Points'!R21</f>
        <v>582766</v>
      </c>
      <c r="E158">
        <f>'All Points'!S21</f>
        <v>600946</v>
      </c>
      <c r="F158">
        <f>'All Points'!R41</f>
        <v>582755</v>
      </c>
      <c r="G158" s="14">
        <f>'All Points'!S41</f>
        <v>600951</v>
      </c>
      <c r="H158">
        <f>'All Points'!Y11</f>
        <v>582830</v>
      </c>
      <c r="I158" s="14">
        <f>'All Points'!Z11</f>
        <v>600932</v>
      </c>
      <c r="J158">
        <f>'All Points'!Y41</f>
        <v>582841</v>
      </c>
      <c r="K158">
        <f>'All Points'!Z41</f>
        <v>600939</v>
      </c>
    </row>
    <row r="159" spans="1:11">
      <c r="A159" s="29">
        <v>158</v>
      </c>
      <c r="B159">
        <f>'All Points'!K82</f>
        <v>582739</v>
      </c>
      <c r="C159">
        <f>'All Points'!L82</f>
        <v>600948</v>
      </c>
      <c r="D159">
        <f>'All Points'!R22</f>
        <v>582774</v>
      </c>
      <c r="E159">
        <f>'All Points'!S22</f>
        <v>600921</v>
      </c>
      <c r="F159">
        <f>'All Points'!R42</f>
        <v>582747</v>
      </c>
      <c r="G159" s="14">
        <f>'All Points'!S42</f>
        <v>600925</v>
      </c>
      <c r="H159">
        <f>'All Points'!Y12</f>
        <v>582845</v>
      </c>
      <c r="I159" s="14">
        <f>'All Points'!Z12</f>
        <v>600911</v>
      </c>
      <c r="J159">
        <f>'All Points'!Y42</f>
        <v>582801</v>
      </c>
      <c r="K159">
        <f>'All Points'!Z42</f>
        <v>600923</v>
      </c>
    </row>
    <row r="160" spans="1:11">
      <c r="A160" s="29">
        <v>159</v>
      </c>
      <c r="B160">
        <f>'All Points'!K83</f>
        <v>582716</v>
      </c>
      <c r="C160">
        <f>'All Points'!L83</f>
        <v>600941</v>
      </c>
      <c r="D160">
        <f>'All Points'!R23</f>
        <v>582773</v>
      </c>
      <c r="E160">
        <f>'All Points'!S23</f>
        <v>600916</v>
      </c>
      <c r="F160">
        <f>'All Points'!R43</f>
        <v>582771</v>
      </c>
      <c r="G160" s="14">
        <f>'All Points'!S43</f>
        <v>600915</v>
      </c>
      <c r="H160">
        <f>'All Points'!Y13</f>
        <v>582825</v>
      </c>
      <c r="I160" s="14">
        <f>'All Points'!Z13</f>
        <v>600933</v>
      </c>
      <c r="J160">
        <f>'All Points'!Y43</f>
        <v>582836</v>
      </c>
      <c r="K160">
        <f>'All Points'!Z43</f>
        <v>600938</v>
      </c>
    </row>
    <row r="161" spans="1:11">
      <c r="A161" s="29">
        <v>160</v>
      </c>
      <c r="B161">
        <f>'All Points'!K84</f>
        <v>582730</v>
      </c>
      <c r="C161">
        <f>'All Points'!L84</f>
        <v>600922</v>
      </c>
      <c r="D161">
        <f>'All Points'!R24</f>
        <v>582773</v>
      </c>
      <c r="E161">
        <f>'All Points'!S24</f>
        <v>600926</v>
      </c>
      <c r="F161">
        <f>'All Points'!R44</f>
        <v>582781</v>
      </c>
      <c r="G161" s="14">
        <f>'All Points'!S44</f>
        <v>600931</v>
      </c>
      <c r="H161">
        <f>'All Points'!Y14</f>
        <v>582796</v>
      </c>
      <c r="I161" s="14">
        <f>'All Points'!Z14</f>
        <v>600912</v>
      </c>
      <c r="J161">
        <f>'All Points'!Y44</f>
        <v>582824</v>
      </c>
      <c r="K161">
        <f>'All Points'!Z44</f>
        <v>600919</v>
      </c>
    </row>
    <row r="162" spans="1:11">
      <c r="A162" s="29">
        <v>161</v>
      </c>
      <c r="B162">
        <f>'All Points'!R5</f>
        <v>582786</v>
      </c>
      <c r="C162">
        <f>'All Points'!S5</f>
        <v>600936</v>
      </c>
      <c r="D162">
        <f>'All Points'!R25</f>
        <v>582780</v>
      </c>
      <c r="E162">
        <f>'All Points'!S25</f>
        <v>600932</v>
      </c>
      <c r="F162">
        <f>'All Points'!R45</f>
        <v>582767</v>
      </c>
      <c r="G162" s="14">
        <f>'All Points'!S45</f>
        <v>600939</v>
      </c>
      <c r="H162">
        <f>'All Points'!Y15</f>
        <v>582810</v>
      </c>
      <c r="I162" s="14">
        <f>'All Points'!Z15</f>
        <v>600940</v>
      </c>
      <c r="J162">
        <f>'All Points'!Y45</f>
        <v>582813</v>
      </c>
      <c r="K162">
        <f>'All Points'!Z45</f>
        <v>600923</v>
      </c>
    </row>
    <row r="163" spans="1:11">
      <c r="A163" s="29">
        <v>162</v>
      </c>
      <c r="B163">
        <f>'All Points'!R6</f>
        <v>582766</v>
      </c>
      <c r="C163">
        <f>'All Points'!S6</f>
        <v>600916</v>
      </c>
      <c r="D163">
        <f>'All Points'!R26</f>
        <v>582796</v>
      </c>
      <c r="E163">
        <f>'All Points'!S26</f>
        <v>600943</v>
      </c>
      <c r="F163">
        <f>'All Points'!R46</f>
        <v>582745</v>
      </c>
      <c r="G163" s="14">
        <f>'All Points'!S46</f>
        <v>600912</v>
      </c>
      <c r="H163">
        <f>'All Points'!Y16</f>
        <v>582803</v>
      </c>
      <c r="I163" s="14">
        <f>'All Points'!Z16</f>
        <v>600933</v>
      </c>
    </row>
    <row r="164" spans="1:11">
      <c r="A164" s="29">
        <v>163</v>
      </c>
      <c r="B164">
        <f>'All Points'!R7</f>
        <v>582755</v>
      </c>
      <c r="C164">
        <f>'All Points'!S7</f>
        <v>600932</v>
      </c>
      <c r="D164">
        <f>'All Points'!R27</f>
        <v>582766</v>
      </c>
      <c r="E164">
        <f>'All Points'!S27</f>
        <v>600922</v>
      </c>
      <c r="F164">
        <f>'All Points'!R47</f>
        <v>582784</v>
      </c>
      <c r="G164" s="14">
        <f>'All Points'!S47</f>
        <v>600933</v>
      </c>
      <c r="H164">
        <f>'All Points'!Y17</f>
        <v>582841</v>
      </c>
      <c r="I164" s="14">
        <f>'All Points'!Z17</f>
        <v>600941</v>
      </c>
    </row>
    <row r="165" spans="1:11">
      <c r="A165" s="29">
        <v>164</v>
      </c>
      <c r="B165">
        <f>'All Points'!R8</f>
        <v>582776</v>
      </c>
      <c r="C165">
        <f>'All Points'!S8</f>
        <v>600941</v>
      </c>
      <c r="D165">
        <f>'All Points'!R28</f>
        <v>582760</v>
      </c>
      <c r="E165">
        <f>'All Points'!S28</f>
        <v>600930</v>
      </c>
      <c r="F165">
        <f>'All Points'!R48</f>
        <v>582794</v>
      </c>
      <c r="G165" s="14">
        <f>'All Points'!S48</f>
        <v>600920</v>
      </c>
      <c r="H165">
        <f>'All Points'!Y18</f>
        <v>582808</v>
      </c>
      <c r="I165" s="14">
        <f>'All Points'!Z18</f>
        <v>600925</v>
      </c>
    </row>
    <row r="166" spans="1:11">
      <c r="A166" s="29">
        <v>165</v>
      </c>
      <c r="B166">
        <f>'All Points'!R9</f>
        <v>582776</v>
      </c>
      <c r="C166">
        <f>'All Points'!S9</f>
        <v>600918</v>
      </c>
      <c r="D166">
        <f>'All Points'!R29</f>
        <v>582777</v>
      </c>
      <c r="E166">
        <f>'All Points'!S29</f>
        <v>600919</v>
      </c>
      <c r="F166">
        <f>'All Points'!R49</f>
        <v>582773</v>
      </c>
      <c r="G166" s="14">
        <f>'All Points'!S49</f>
        <v>600921</v>
      </c>
      <c r="H166">
        <f>'All Points'!Y19</f>
        <v>582822</v>
      </c>
      <c r="I166" s="14">
        <f>'All Points'!Z19</f>
        <v>600913</v>
      </c>
    </row>
    <row r="167" spans="1:11">
      <c r="A167" s="29">
        <v>166</v>
      </c>
      <c r="B167">
        <f>'All Points'!R10</f>
        <v>582758</v>
      </c>
      <c r="C167">
        <f>'All Points'!S10</f>
        <v>600912</v>
      </c>
      <c r="D167">
        <f>'All Points'!R30</f>
        <v>582776</v>
      </c>
      <c r="E167">
        <f>'All Points'!S30</f>
        <v>600945</v>
      </c>
      <c r="F167">
        <f>'All Points'!R50</f>
        <v>582756</v>
      </c>
      <c r="G167" s="14">
        <f>'All Points'!S50</f>
        <v>600932</v>
      </c>
      <c r="H167">
        <f>'All Points'!Y20</f>
        <v>582840</v>
      </c>
      <c r="I167" s="14">
        <f>'All Points'!Z20</f>
        <v>600917</v>
      </c>
    </row>
    <row r="168" spans="1:11">
      <c r="A168" s="29">
        <v>167</v>
      </c>
      <c r="B168">
        <f>'All Points'!R11</f>
        <v>582765</v>
      </c>
      <c r="C168">
        <f>'All Points'!S11</f>
        <v>600944</v>
      </c>
      <c r="D168">
        <f>'All Points'!R31</f>
        <v>582747</v>
      </c>
      <c r="E168">
        <f>'All Points'!S31</f>
        <v>600931</v>
      </c>
      <c r="F168">
        <f>'All Points'!R51</f>
        <v>582754</v>
      </c>
      <c r="G168" s="14">
        <f>'All Points'!S51</f>
        <v>600919</v>
      </c>
      <c r="H168">
        <f>'All Points'!Y21</f>
        <v>582843</v>
      </c>
      <c r="I168" s="14">
        <f>'All Points'!Z21</f>
        <v>600934</v>
      </c>
    </row>
    <row r="169" spans="1:11">
      <c r="A169" s="29">
        <v>168</v>
      </c>
      <c r="B169">
        <f>'All Points'!R12</f>
        <v>582788</v>
      </c>
      <c r="C169">
        <f>'All Points'!S12</f>
        <v>600943</v>
      </c>
      <c r="D169">
        <f>'All Points'!R32</f>
        <v>582783</v>
      </c>
      <c r="E169">
        <f>'All Points'!S32</f>
        <v>600924</v>
      </c>
      <c r="F169">
        <f>'All Points'!R52</f>
        <v>582793</v>
      </c>
      <c r="G169" s="14">
        <f>'All Points'!S52</f>
        <v>600921</v>
      </c>
      <c r="H169">
        <f>'All Points'!Y22</f>
        <v>582805</v>
      </c>
      <c r="I169" s="14">
        <f>'All Points'!Z22</f>
        <v>600934</v>
      </c>
    </row>
    <row r="170" spans="1:11">
      <c r="A170" s="29">
        <v>169</v>
      </c>
      <c r="B170">
        <f>'All Points'!R13</f>
        <v>582774</v>
      </c>
      <c r="C170">
        <f>'All Points'!S13</f>
        <v>600913</v>
      </c>
      <c r="D170">
        <f>'All Points'!R33</f>
        <v>582796</v>
      </c>
      <c r="E170">
        <f>'All Points'!S33</f>
        <v>600936</v>
      </c>
      <c r="F170">
        <f>'All Points'!R53</f>
        <v>582770</v>
      </c>
      <c r="G170" s="14">
        <f>'All Points'!S53</f>
        <v>600941</v>
      </c>
      <c r="H170">
        <f>'All Points'!Y23</f>
        <v>582818</v>
      </c>
      <c r="I170" s="14">
        <f>'All Points'!Z23</f>
        <v>600928</v>
      </c>
    </row>
    <row r="171" spans="1:11">
      <c r="A171" s="29">
        <v>170</v>
      </c>
      <c r="B171">
        <f>'All Points'!R14</f>
        <v>582786</v>
      </c>
      <c r="C171">
        <f>'All Points'!S14</f>
        <v>600915</v>
      </c>
      <c r="D171">
        <f>'All Points'!R34</f>
        <v>582781</v>
      </c>
      <c r="E171">
        <f>'All Points'!S34</f>
        <v>600917</v>
      </c>
      <c r="F171">
        <f>'All Points'!R54</f>
        <v>582745</v>
      </c>
      <c r="G171" s="14">
        <f>'All Points'!S54</f>
        <v>600920</v>
      </c>
      <c r="H171">
        <f>'All Points'!Y24</f>
        <v>582796</v>
      </c>
      <c r="I171" s="14">
        <f>'All Points'!Z24</f>
        <v>600919</v>
      </c>
    </row>
    <row r="172" spans="1:11">
      <c r="A172" s="29">
        <v>171</v>
      </c>
      <c r="B172">
        <f>'All Points'!R15</f>
        <v>582766</v>
      </c>
      <c r="C172">
        <f>'All Points'!S15</f>
        <v>600929</v>
      </c>
      <c r="D172">
        <f>'All Points'!R35</f>
        <v>582784</v>
      </c>
      <c r="E172">
        <f>'All Points'!S35</f>
        <v>600942</v>
      </c>
      <c r="F172">
        <f>'All Points'!R55</f>
        <v>582760</v>
      </c>
      <c r="G172" s="14">
        <f>'All Points'!S55</f>
        <v>600947</v>
      </c>
      <c r="H172">
        <f>'All Points'!Y25</f>
        <v>582805</v>
      </c>
      <c r="I172" s="14">
        <f>'All Points'!Z25</f>
        <v>600922</v>
      </c>
    </row>
    <row r="173" spans="1:11">
      <c r="A173" s="29">
        <v>172</v>
      </c>
      <c r="B173">
        <f>'All Points'!R16</f>
        <v>582773</v>
      </c>
      <c r="C173">
        <f>'All Points'!S16</f>
        <v>600950</v>
      </c>
      <c r="D173">
        <f>'All Points'!R36</f>
        <v>582756</v>
      </c>
      <c r="E173">
        <f>'All Points'!S36</f>
        <v>600944</v>
      </c>
      <c r="F173">
        <f>'All Points'!R56</f>
        <v>582787</v>
      </c>
      <c r="G173" s="14">
        <f>'All Points'!S56</f>
        <v>600919</v>
      </c>
      <c r="H173">
        <f>'All Points'!Y26</f>
        <v>582833</v>
      </c>
      <c r="I173" s="14">
        <f>'All Points'!Z26</f>
        <v>600933</v>
      </c>
    </row>
    <row r="174" spans="1:11">
      <c r="A174" s="29">
        <v>173</v>
      </c>
      <c r="B174">
        <f>'All Points'!R17</f>
        <v>582786</v>
      </c>
      <c r="C174">
        <f>'All Points'!S17</f>
        <v>600918</v>
      </c>
      <c r="D174">
        <f>'All Points'!R37</f>
        <v>582792</v>
      </c>
      <c r="E174">
        <f>'All Points'!S37</f>
        <v>600913</v>
      </c>
      <c r="F174">
        <f>'All Points'!R57</f>
        <v>582758</v>
      </c>
      <c r="G174" s="14">
        <f>'All Points'!S57</f>
        <v>600938</v>
      </c>
      <c r="H174">
        <f>'All Points'!Y27</f>
        <v>582805</v>
      </c>
      <c r="I174" s="14">
        <f>'All Points'!Z27</f>
        <v>600926</v>
      </c>
    </row>
    <row r="175" spans="1:11">
      <c r="A175" s="29">
        <v>174</v>
      </c>
      <c r="B175">
        <f>'All Points'!R18</f>
        <v>582746</v>
      </c>
      <c r="C175">
        <f>'All Points'!S18</f>
        <v>600949</v>
      </c>
      <c r="D175">
        <f>'All Points'!R38</f>
        <v>582783</v>
      </c>
      <c r="E175">
        <f>'All Points'!S38</f>
        <v>600931</v>
      </c>
      <c r="F175">
        <f>'All Points'!R58</f>
        <v>582761</v>
      </c>
      <c r="G175" s="14">
        <f>'All Points'!S58</f>
        <v>600943</v>
      </c>
      <c r="H175">
        <f>'All Points'!Y28</f>
        <v>582822</v>
      </c>
      <c r="I175" s="14">
        <f>'All Points'!Z28</f>
        <v>600945</v>
      </c>
    </row>
    <row r="176" spans="1:11">
      <c r="A176" s="29">
        <v>175</v>
      </c>
      <c r="B176">
        <f>'All Points'!R19</f>
        <v>582794</v>
      </c>
      <c r="C176">
        <f>'All Points'!S19</f>
        <v>600936</v>
      </c>
      <c r="D176">
        <f>'All Points'!R39</f>
        <v>582772</v>
      </c>
      <c r="E176">
        <f>'All Points'!S39</f>
        <v>600930</v>
      </c>
      <c r="F176">
        <f>'All Points'!R59</f>
        <v>582786</v>
      </c>
      <c r="G176" s="14">
        <f>'All Points'!S59</f>
        <v>600948</v>
      </c>
      <c r="H176">
        <f>'All Points'!Y29</f>
        <v>582836</v>
      </c>
      <c r="I176" s="14">
        <f>'All Points'!Z29</f>
        <v>600920</v>
      </c>
    </row>
    <row r="177" spans="1:9">
      <c r="A177" s="29">
        <v>176</v>
      </c>
      <c r="B177">
        <f>'All Points'!R20</f>
        <v>582795</v>
      </c>
      <c r="C177">
        <f>'All Points'!S20</f>
        <v>600913</v>
      </c>
      <c r="D177">
        <f>'All Points'!R40</f>
        <v>582761</v>
      </c>
      <c r="E177">
        <f>'All Points'!S40</f>
        <v>600922</v>
      </c>
      <c r="F177">
        <f>'All Points'!R60</f>
        <v>582751</v>
      </c>
      <c r="G177" s="14">
        <f>'All Points'!S60</f>
        <v>600940</v>
      </c>
      <c r="H177">
        <f>'All Points'!Y30</f>
        <v>582845</v>
      </c>
      <c r="I177" s="14">
        <f>'All Points'!Z30</f>
        <v>600921</v>
      </c>
    </row>
    <row r="178" spans="1:9">
      <c r="A178" s="29">
        <v>177</v>
      </c>
      <c r="B178">
        <f>'All Points'!R21</f>
        <v>582766</v>
      </c>
      <c r="C178">
        <f>'All Points'!S21</f>
        <v>600946</v>
      </c>
      <c r="D178">
        <f>'All Points'!R41</f>
        <v>582755</v>
      </c>
      <c r="E178">
        <f>'All Points'!S41</f>
        <v>600951</v>
      </c>
      <c r="F178">
        <f>'All Points'!R61</f>
        <v>582784</v>
      </c>
      <c r="G178" s="14">
        <f>'All Points'!S61</f>
        <v>600927</v>
      </c>
      <c r="H178">
        <f>'All Points'!Y31</f>
        <v>582803</v>
      </c>
      <c r="I178" s="14">
        <f>'All Points'!Z31</f>
        <v>600917</v>
      </c>
    </row>
    <row r="179" spans="1:9">
      <c r="A179" s="29">
        <v>178</v>
      </c>
      <c r="B179">
        <f>'All Points'!R22</f>
        <v>582774</v>
      </c>
      <c r="C179">
        <f>'All Points'!S22</f>
        <v>600921</v>
      </c>
      <c r="D179">
        <f>'All Points'!R42</f>
        <v>582747</v>
      </c>
      <c r="E179">
        <f>'All Points'!S42</f>
        <v>600925</v>
      </c>
      <c r="F179">
        <f>'All Points'!R62</f>
        <v>582752</v>
      </c>
      <c r="G179" s="14">
        <f>'All Points'!S62</f>
        <v>600925</v>
      </c>
      <c r="H179">
        <f>'All Points'!Y32</f>
        <v>582827</v>
      </c>
      <c r="I179" s="14">
        <f>'All Points'!Z32</f>
        <v>600939</v>
      </c>
    </row>
    <row r="180" spans="1:9">
      <c r="A180" s="29">
        <v>179</v>
      </c>
      <c r="B180">
        <f>'All Points'!R23</f>
        <v>582773</v>
      </c>
      <c r="C180">
        <f>'All Points'!S23</f>
        <v>600916</v>
      </c>
      <c r="D180">
        <f>'All Points'!R43</f>
        <v>582771</v>
      </c>
      <c r="E180">
        <f>'All Points'!S43</f>
        <v>600915</v>
      </c>
      <c r="F180">
        <f>'All Points'!R63</f>
        <v>582788</v>
      </c>
      <c r="G180" s="14">
        <f>'All Points'!S63</f>
        <v>600913</v>
      </c>
      <c r="H180">
        <f>'All Points'!Y33</f>
        <v>582795</v>
      </c>
      <c r="I180" s="14">
        <f>'All Points'!Z33</f>
        <v>600928</v>
      </c>
    </row>
    <row r="181" spans="1:9">
      <c r="A181" s="29">
        <v>180</v>
      </c>
      <c r="B181">
        <f>'All Points'!R24</f>
        <v>582773</v>
      </c>
      <c r="C181">
        <f>'All Points'!S24</f>
        <v>600926</v>
      </c>
      <c r="D181">
        <f>'All Points'!R44</f>
        <v>582781</v>
      </c>
      <c r="E181">
        <f>'All Points'!S44</f>
        <v>600931</v>
      </c>
      <c r="F181">
        <f>'All Points'!R64</f>
        <v>582789</v>
      </c>
      <c r="G181" s="14">
        <f>'All Points'!S64</f>
        <v>600919</v>
      </c>
      <c r="H181">
        <f>'All Points'!Y34</f>
        <v>582826</v>
      </c>
      <c r="I181" s="14">
        <f>'All Points'!Z34</f>
        <v>600935</v>
      </c>
    </row>
    <row r="182" spans="1:9">
      <c r="A182" s="29">
        <v>181</v>
      </c>
      <c r="B182">
        <f>'All Points'!R25</f>
        <v>582780</v>
      </c>
      <c r="C182">
        <f>'All Points'!S25</f>
        <v>600932</v>
      </c>
      <c r="D182">
        <f>'All Points'!R45</f>
        <v>582767</v>
      </c>
      <c r="E182">
        <f>'All Points'!S45</f>
        <v>600939</v>
      </c>
      <c r="F182">
        <f>'All Points'!Y5</f>
        <v>582824</v>
      </c>
      <c r="G182" s="14">
        <f>'All Points'!Z5</f>
        <v>600914</v>
      </c>
      <c r="H182">
        <f>'All Points'!Y35</f>
        <v>582837</v>
      </c>
      <c r="I182" s="14">
        <f>'All Points'!Z35</f>
        <v>600931</v>
      </c>
    </row>
    <row r="183" spans="1:9">
      <c r="A183" s="29">
        <v>182</v>
      </c>
      <c r="B183">
        <f>'All Points'!R26</f>
        <v>582796</v>
      </c>
      <c r="C183">
        <f>'All Points'!S26</f>
        <v>600943</v>
      </c>
      <c r="D183">
        <f>'All Points'!R46</f>
        <v>582745</v>
      </c>
      <c r="E183">
        <f>'All Points'!S46</f>
        <v>600912</v>
      </c>
      <c r="F183">
        <f>'All Points'!Y6</f>
        <v>582813</v>
      </c>
      <c r="G183" s="14">
        <f>'All Points'!Z6</f>
        <v>600940</v>
      </c>
      <c r="H183">
        <f>'All Points'!Y36</f>
        <v>582807</v>
      </c>
      <c r="I183" s="14">
        <f>'All Points'!Z36</f>
        <v>600925</v>
      </c>
    </row>
    <row r="184" spans="1:9">
      <c r="A184" s="29">
        <v>183</v>
      </c>
      <c r="B184">
        <f>'All Points'!R27</f>
        <v>582766</v>
      </c>
      <c r="C184">
        <f>'All Points'!S27</f>
        <v>600922</v>
      </c>
      <c r="D184">
        <f>'All Points'!R47</f>
        <v>582784</v>
      </c>
      <c r="E184">
        <f>'All Points'!S47</f>
        <v>600933</v>
      </c>
      <c r="F184">
        <f>'All Points'!Y7</f>
        <v>582820</v>
      </c>
      <c r="G184" s="14">
        <f>'All Points'!Z7</f>
        <v>600920</v>
      </c>
      <c r="H184">
        <f>'All Points'!Y37</f>
        <v>582841</v>
      </c>
      <c r="I184" s="14">
        <f>'All Points'!Z37</f>
        <v>600929</v>
      </c>
    </row>
    <row r="185" spans="1:9">
      <c r="A185" s="29">
        <v>184</v>
      </c>
      <c r="B185">
        <f>'All Points'!R28</f>
        <v>582760</v>
      </c>
      <c r="C185">
        <f>'All Points'!S28</f>
        <v>600930</v>
      </c>
      <c r="D185">
        <f>'All Points'!R48</f>
        <v>582794</v>
      </c>
      <c r="E185">
        <f>'All Points'!S48</f>
        <v>600920</v>
      </c>
      <c r="F185">
        <f>'All Points'!Y8</f>
        <v>582840</v>
      </c>
      <c r="G185" s="14">
        <f>'All Points'!Z8</f>
        <v>600941</v>
      </c>
      <c r="H185">
        <f>'All Points'!Y38</f>
        <v>582814</v>
      </c>
      <c r="I185" s="14">
        <f>'All Points'!Z38</f>
        <v>600926</v>
      </c>
    </row>
    <row r="186" spans="1:9">
      <c r="A186" s="29">
        <v>185</v>
      </c>
      <c r="B186">
        <f>'All Points'!R29</f>
        <v>582777</v>
      </c>
      <c r="C186">
        <f>'All Points'!S29</f>
        <v>600919</v>
      </c>
      <c r="D186">
        <f>'All Points'!R49</f>
        <v>582773</v>
      </c>
      <c r="E186">
        <f>'All Points'!S49</f>
        <v>600921</v>
      </c>
      <c r="F186">
        <f>'All Points'!Y9</f>
        <v>582829</v>
      </c>
      <c r="G186" s="14">
        <f>'All Points'!Z9</f>
        <v>600942</v>
      </c>
      <c r="H186">
        <f>'All Points'!Y39</f>
        <v>582825</v>
      </c>
      <c r="I186" s="14">
        <f>'All Points'!Z39</f>
        <v>600933</v>
      </c>
    </row>
    <row r="187" spans="1:9">
      <c r="A187" s="29">
        <v>186</v>
      </c>
      <c r="B187">
        <f>'All Points'!R30</f>
        <v>582776</v>
      </c>
      <c r="C187">
        <f>'All Points'!S30</f>
        <v>600945</v>
      </c>
      <c r="D187">
        <f>'All Points'!R50</f>
        <v>582756</v>
      </c>
      <c r="E187">
        <f>'All Points'!S50</f>
        <v>600932</v>
      </c>
      <c r="F187">
        <f>'All Points'!Y10</f>
        <v>582835</v>
      </c>
      <c r="G187" s="14">
        <f>'All Points'!Z10</f>
        <v>600918</v>
      </c>
      <c r="H187">
        <f>'All Points'!Y40</f>
        <v>582839</v>
      </c>
      <c r="I187" s="14">
        <f>'All Points'!Z40</f>
        <v>600944</v>
      </c>
    </row>
    <row r="188" spans="1:9">
      <c r="A188" s="29">
        <v>187</v>
      </c>
      <c r="B188">
        <f>'All Points'!R31</f>
        <v>582747</v>
      </c>
      <c r="C188">
        <f>'All Points'!S31</f>
        <v>600931</v>
      </c>
      <c r="D188">
        <f>'All Points'!R51</f>
        <v>582754</v>
      </c>
      <c r="E188">
        <f>'All Points'!S51</f>
        <v>600919</v>
      </c>
      <c r="F188">
        <f>'All Points'!Y11</f>
        <v>582830</v>
      </c>
      <c r="G188" s="14">
        <f>'All Points'!Z11</f>
        <v>600932</v>
      </c>
      <c r="H188">
        <f>'All Points'!Y41</f>
        <v>582841</v>
      </c>
      <c r="I188" s="14">
        <f>'All Points'!Z41</f>
        <v>600939</v>
      </c>
    </row>
    <row r="189" spans="1:9">
      <c r="A189" s="29">
        <v>188</v>
      </c>
      <c r="B189">
        <f>'All Points'!R32</f>
        <v>582783</v>
      </c>
      <c r="C189">
        <f>'All Points'!S32</f>
        <v>600924</v>
      </c>
      <c r="D189">
        <f>'All Points'!R52</f>
        <v>582793</v>
      </c>
      <c r="E189">
        <f>'All Points'!S52</f>
        <v>600921</v>
      </c>
      <c r="F189">
        <f>'All Points'!Y12</f>
        <v>582845</v>
      </c>
      <c r="G189" s="14">
        <f>'All Points'!Z12</f>
        <v>600911</v>
      </c>
      <c r="H189">
        <f>'All Points'!Y42</f>
        <v>582801</v>
      </c>
      <c r="I189" s="14">
        <f>'All Points'!Z42</f>
        <v>600923</v>
      </c>
    </row>
    <row r="190" spans="1:9">
      <c r="A190" s="29">
        <v>189</v>
      </c>
      <c r="B190">
        <f>'All Points'!R33</f>
        <v>582796</v>
      </c>
      <c r="C190">
        <f>'All Points'!S33</f>
        <v>600936</v>
      </c>
      <c r="D190">
        <f>'All Points'!R53</f>
        <v>582770</v>
      </c>
      <c r="E190">
        <f>'All Points'!S53</f>
        <v>600941</v>
      </c>
      <c r="F190">
        <f>'All Points'!Y13</f>
        <v>582825</v>
      </c>
      <c r="G190" s="14">
        <f>'All Points'!Z13</f>
        <v>600933</v>
      </c>
      <c r="H190">
        <f>'All Points'!Y43</f>
        <v>582836</v>
      </c>
      <c r="I190" s="14">
        <f>'All Points'!Z43</f>
        <v>600938</v>
      </c>
    </row>
    <row r="191" spans="1:9">
      <c r="A191" s="29">
        <v>190</v>
      </c>
      <c r="B191">
        <f>'All Points'!R34</f>
        <v>582781</v>
      </c>
      <c r="C191">
        <f>'All Points'!S34</f>
        <v>600917</v>
      </c>
      <c r="D191">
        <f>'All Points'!R54</f>
        <v>582745</v>
      </c>
      <c r="E191">
        <f>'All Points'!S54</f>
        <v>600920</v>
      </c>
      <c r="F191">
        <f>'All Points'!Y14</f>
        <v>582796</v>
      </c>
      <c r="G191" s="14">
        <f>'All Points'!Z14</f>
        <v>600912</v>
      </c>
      <c r="H191">
        <f>'All Points'!Y44</f>
        <v>582824</v>
      </c>
      <c r="I191" s="14">
        <f>'All Points'!Z44</f>
        <v>600919</v>
      </c>
    </row>
    <row r="192" spans="1:9">
      <c r="A192" s="29">
        <v>191</v>
      </c>
      <c r="B192">
        <f>'All Points'!R35</f>
        <v>582784</v>
      </c>
      <c r="C192">
        <f>'All Points'!S35</f>
        <v>600942</v>
      </c>
      <c r="D192">
        <f>'All Points'!R55</f>
        <v>582760</v>
      </c>
      <c r="E192">
        <f>'All Points'!S55</f>
        <v>600947</v>
      </c>
      <c r="F192">
        <f>'All Points'!Y15</f>
        <v>582810</v>
      </c>
      <c r="G192" s="14">
        <f>'All Points'!Z15</f>
        <v>600940</v>
      </c>
      <c r="H192">
        <f>'All Points'!Y45</f>
        <v>582813</v>
      </c>
      <c r="I192" s="14">
        <f>'All Points'!Z45</f>
        <v>600923</v>
      </c>
    </row>
    <row r="193" spans="1:9">
      <c r="A193" s="29">
        <v>192</v>
      </c>
      <c r="B193">
        <f>'All Points'!R36</f>
        <v>582756</v>
      </c>
      <c r="C193">
        <f>'All Points'!S36</f>
        <v>600944</v>
      </c>
      <c r="D193">
        <f>'All Points'!R56</f>
        <v>582787</v>
      </c>
      <c r="E193">
        <f>'All Points'!S56</f>
        <v>600919</v>
      </c>
      <c r="F193">
        <f>'All Points'!Y16</f>
        <v>582803</v>
      </c>
      <c r="G193" s="14">
        <f>'All Points'!Z16</f>
        <v>600933</v>
      </c>
      <c r="H193">
        <f>'All Points'!Y46</f>
        <v>582831</v>
      </c>
      <c r="I193" s="14">
        <f>'All Points'!Z46</f>
        <v>600925</v>
      </c>
    </row>
    <row r="194" spans="1:9">
      <c r="A194" s="29">
        <v>193</v>
      </c>
      <c r="B194">
        <f>'All Points'!R37</f>
        <v>582792</v>
      </c>
      <c r="C194">
        <f>'All Points'!S37</f>
        <v>600913</v>
      </c>
      <c r="D194">
        <f>'All Points'!R57</f>
        <v>582758</v>
      </c>
      <c r="E194">
        <f>'All Points'!S57</f>
        <v>600938</v>
      </c>
      <c r="F194">
        <f>'All Points'!Y17</f>
        <v>582841</v>
      </c>
      <c r="G194" s="14">
        <f>'All Points'!Z17</f>
        <v>600941</v>
      </c>
      <c r="H194">
        <f>'All Points'!Y47</f>
        <v>582838</v>
      </c>
      <c r="I194" s="14">
        <f>'All Points'!Z47</f>
        <v>600929</v>
      </c>
    </row>
    <row r="195" spans="1:9">
      <c r="A195" s="29">
        <v>194</v>
      </c>
      <c r="B195">
        <f>'All Points'!R38</f>
        <v>582783</v>
      </c>
      <c r="C195">
        <f>'All Points'!S38</f>
        <v>600931</v>
      </c>
      <c r="D195">
        <f>'All Points'!R58</f>
        <v>582761</v>
      </c>
      <c r="E195">
        <f>'All Points'!S58</f>
        <v>600943</v>
      </c>
      <c r="F195">
        <f>'All Points'!Y18</f>
        <v>582808</v>
      </c>
      <c r="G195" s="14">
        <f>'All Points'!Z18</f>
        <v>600925</v>
      </c>
      <c r="H195">
        <f>'All Points'!Y48</f>
        <v>582818</v>
      </c>
      <c r="I195" s="14">
        <f>'All Points'!Z48</f>
        <v>600944</v>
      </c>
    </row>
    <row r="196" spans="1:9">
      <c r="A196" s="29">
        <v>195</v>
      </c>
      <c r="B196">
        <f>'All Points'!R39</f>
        <v>582772</v>
      </c>
      <c r="C196">
        <f>'All Points'!S39</f>
        <v>600930</v>
      </c>
      <c r="D196">
        <f>'All Points'!R59</f>
        <v>582786</v>
      </c>
      <c r="E196">
        <f>'All Points'!S59</f>
        <v>600948</v>
      </c>
      <c r="F196">
        <f>'All Points'!Y19</f>
        <v>582822</v>
      </c>
      <c r="G196" s="14">
        <f>'All Points'!Z19</f>
        <v>600913</v>
      </c>
      <c r="H196">
        <f>'All Points'!Y49</f>
        <v>582828</v>
      </c>
      <c r="I196" s="14">
        <f>'All Points'!Z49</f>
        <v>600946</v>
      </c>
    </row>
    <row r="197" spans="1:9">
      <c r="A197" s="29">
        <v>196</v>
      </c>
      <c r="B197">
        <f>'All Points'!R40</f>
        <v>582761</v>
      </c>
      <c r="C197">
        <f>'All Points'!S40</f>
        <v>600922</v>
      </c>
      <c r="D197">
        <f>'All Points'!R60</f>
        <v>582751</v>
      </c>
      <c r="E197">
        <f>'All Points'!S60</f>
        <v>600940</v>
      </c>
      <c r="F197">
        <f>'All Points'!Y20</f>
        <v>582840</v>
      </c>
      <c r="G197" s="14">
        <f>'All Points'!Z20</f>
        <v>600917</v>
      </c>
      <c r="H197">
        <f>'All Points'!Y50</f>
        <v>582837</v>
      </c>
      <c r="I197" s="14">
        <f>'All Points'!Z50</f>
        <v>600915</v>
      </c>
    </row>
    <row r="198" spans="1:9">
      <c r="A198" s="29">
        <v>197</v>
      </c>
      <c r="B198">
        <f>'All Points'!R41</f>
        <v>582755</v>
      </c>
      <c r="C198">
        <f>'All Points'!S41</f>
        <v>600951</v>
      </c>
      <c r="D198">
        <f>'All Points'!R61</f>
        <v>582784</v>
      </c>
      <c r="E198">
        <f>'All Points'!S61</f>
        <v>600927</v>
      </c>
      <c r="F198">
        <f>'All Points'!Y21</f>
        <v>582843</v>
      </c>
      <c r="G198" s="14">
        <f>'All Points'!Z21</f>
        <v>600934</v>
      </c>
      <c r="H198">
        <f>'All Points'!Y51</f>
        <v>582828</v>
      </c>
      <c r="I198" s="14">
        <f>'All Points'!Z51</f>
        <v>600940</v>
      </c>
    </row>
    <row r="199" spans="1:9">
      <c r="A199" s="29">
        <v>198</v>
      </c>
      <c r="B199">
        <f>'All Points'!R42</f>
        <v>582747</v>
      </c>
      <c r="C199">
        <f>'All Points'!S42</f>
        <v>600925</v>
      </c>
      <c r="D199">
        <f>'All Points'!R62</f>
        <v>582752</v>
      </c>
      <c r="E199">
        <f>'All Points'!S62</f>
        <v>600925</v>
      </c>
      <c r="F199">
        <f>'All Points'!Y22</f>
        <v>582805</v>
      </c>
      <c r="G199" s="14">
        <f>'All Points'!Z22</f>
        <v>600934</v>
      </c>
      <c r="H199">
        <f>'All Points'!Y52</f>
        <v>582802</v>
      </c>
      <c r="I199" s="14">
        <f>'All Points'!Z52</f>
        <v>600915</v>
      </c>
    </row>
    <row r="200" spans="1:9">
      <c r="A200" s="29">
        <v>199</v>
      </c>
      <c r="B200">
        <f>'All Points'!R43</f>
        <v>582771</v>
      </c>
      <c r="C200">
        <f>'All Points'!S43</f>
        <v>600915</v>
      </c>
      <c r="D200">
        <f>'All Points'!R63</f>
        <v>582788</v>
      </c>
      <c r="E200">
        <f>'All Points'!S63</f>
        <v>600913</v>
      </c>
      <c r="F200">
        <f>'All Points'!Y23</f>
        <v>582818</v>
      </c>
      <c r="G200" s="14">
        <f>'All Points'!Z23</f>
        <v>600928</v>
      </c>
      <c r="H200">
        <f>'All Points'!Y53</f>
        <v>582797</v>
      </c>
      <c r="I200" s="14">
        <f>'All Points'!Z53</f>
        <v>600915</v>
      </c>
    </row>
    <row r="201" spans="1:9">
      <c r="A201" s="29">
        <v>200</v>
      </c>
      <c r="B201">
        <f>'All Points'!R44</f>
        <v>582781</v>
      </c>
      <c r="C201">
        <f>'All Points'!S44</f>
        <v>600931</v>
      </c>
      <c r="D201">
        <f>'All Points'!R64</f>
        <v>582789</v>
      </c>
      <c r="E201">
        <f>'All Points'!S64</f>
        <v>600919</v>
      </c>
      <c r="F201">
        <f>'All Points'!Y24</f>
        <v>582796</v>
      </c>
      <c r="G201" s="14">
        <f>'All Points'!Z24</f>
        <v>600919</v>
      </c>
      <c r="H201">
        <f>'All Points'!Y54</f>
        <v>582804</v>
      </c>
      <c r="I201" s="14">
        <f>'All Points'!Z54</f>
        <v>600943</v>
      </c>
    </row>
    <row r="202" spans="1:9">
      <c r="A202" s="29">
        <v>201</v>
      </c>
      <c r="B202">
        <f>'All Points'!R45</f>
        <v>582767</v>
      </c>
      <c r="C202">
        <f>'All Points'!S45</f>
        <v>600939</v>
      </c>
      <c r="D202">
        <f>'All Points'!R65</f>
        <v>582747</v>
      </c>
      <c r="E202">
        <f>'All Points'!S65</f>
        <v>600918</v>
      </c>
      <c r="F202">
        <f>'All Points'!Y25</f>
        <v>582805</v>
      </c>
      <c r="G202" s="14">
        <f>'All Points'!Z25</f>
        <v>600922</v>
      </c>
    </row>
    <row r="203" spans="1:9">
      <c r="A203" s="29">
        <v>202</v>
      </c>
      <c r="B203">
        <f>'All Points'!R46</f>
        <v>582745</v>
      </c>
      <c r="C203">
        <f>'All Points'!S46</f>
        <v>600912</v>
      </c>
      <c r="D203">
        <f>'All Points'!R66</f>
        <v>582796</v>
      </c>
      <c r="E203">
        <f>'All Points'!S66</f>
        <v>600920</v>
      </c>
      <c r="F203">
        <f>'All Points'!Y26</f>
        <v>582833</v>
      </c>
      <c r="G203" s="14">
        <f>'All Points'!Z26</f>
        <v>600933</v>
      </c>
    </row>
    <row r="204" spans="1:9">
      <c r="A204" s="29">
        <v>203</v>
      </c>
      <c r="B204">
        <f>'All Points'!R47</f>
        <v>582784</v>
      </c>
      <c r="C204">
        <f>'All Points'!S47</f>
        <v>600933</v>
      </c>
      <c r="D204">
        <f>'All Points'!R67</f>
        <v>582766</v>
      </c>
      <c r="E204">
        <f>'All Points'!S67</f>
        <v>600944</v>
      </c>
      <c r="F204">
        <f>'All Points'!Y27</f>
        <v>582805</v>
      </c>
      <c r="G204" s="14">
        <f>'All Points'!Z27</f>
        <v>600926</v>
      </c>
    </row>
    <row r="205" spans="1:9">
      <c r="A205" s="29">
        <v>204</v>
      </c>
      <c r="B205">
        <f>'All Points'!R48</f>
        <v>582794</v>
      </c>
      <c r="C205">
        <f>'All Points'!S48</f>
        <v>600920</v>
      </c>
      <c r="D205">
        <f>'All Points'!R68</f>
        <v>582790</v>
      </c>
      <c r="E205">
        <f>'All Points'!S68</f>
        <v>600948</v>
      </c>
      <c r="F205">
        <f>'All Points'!Y28</f>
        <v>582822</v>
      </c>
      <c r="G205" s="14">
        <f>'All Points'!Z28</f>
        <v>600945</v>
      </c>
    </row>
    <row r="206" spans="1:9">
      <c r="A206" s="29">
        <v>205</v>
      </c>
      <c r="B206">
        <f>'All Points'!R49</f>
        <v>582773</v>
      </c>
      <c r="C206">
        <f>'All Points'!S49</f>
        <v>600921</v>
      </c>
      <c r="D206">
        <f>'All Points'!R69</f>
        <v>582748</v>
      </c>
      <c r="E206">
        <f>'All Points'!S69</f>
        <v>600922</v>
      </c>
      <c r="F206">
        <f>'All Points'!Y29</f>
        <v>582836</v>
      </c>
      <c r="G206" s="14">
        <f>'All Points'!Z29</f>
        <v>600920</v>
      </c>
    </row>
    <row r="207" spans="1:9">
      <c r="A207" s="29">
        <v>206</v>
      </c>
      <c r="B207">
        <f>'All Points'!R50</f>
        <v>582756</v>
      </c>
      <c r="C207">
        <f>'All Points'!S50</f>
        <v>600932</v>
      </c>
      <c r="D207">
        <f>'All Points'!R70</f>
        <v>582775</v>
      </c>
      <c r="E207">
        <f>'All Points'!S70</f>
        <v>600929</v>
      </c>
      <c r="F207">
        <f>'All Points'!Y30</f>
        <v>582845</v>
      </c>
      <c r="G207" s="14">
        <f>'All Points'!Z30</f>
        <v>600921</v>
      </c>
    </row>
    <row r="208" spans="1:9">
      <c r="A208" s="29">
        <v>207</v>
      </c>
      <c r="B208">
        <f>'All Points'!R51</f>
        <v>582754</v>
      </c>
      <c r="C208">
        <f>'All Points'!S51</f>
        <v>600919</v>
      </c>
      <c r="D208">
        <f>'All Points'!R71</f>
        <v>582766</v>
      </c>
      <c r="E208">
        <f>'All Points'!S71</f>
        <v>600945</v>
      </c>
      <c r="F208">
        <f>'All Points'!Y31</f>
        <v>582803</v>
      </c>
      <c r="G208" s="14">
        <f>'All Points'!Z31</f>
        <v>600917</v>
      </c>
    </row>
    <row r="209" spans="1:7">
      <c r="A209" s="29">
        <v>208</v>
      </c>
      <c r="B209">
        <f>'All Points'!R52</f>
        <v>582793</v>
      </c>
      <c r="C209">
        <f>'All Points'!S52</f>
        <v>600921</v>
      </c>
      <c r="D209">
        <f>'All Points'!R72</f>
        <v>582745</v>
      </c>
      <c r="E209">
        <f>'All Points'!S72</f>
        <v>600919</v>
      </c>
      <c r="F209">
        <f>'All Points'!Y32</f>
        <v>582827</v>
      </c>
      <c r="G209" s="14">
        <f>'All Points'!Z32</f>
        <v>600939</v>
      </c>
    </row>
    <row r="210" spans="1:7">
      <c r="A210" s="29">
        <v>209</v>
      </c>
      <c r="B210">
        <f>'All Points'!R53</f>
        <v>582770</v>
      </c>
      <c r="C210">
        <f>'All Points'!S53</f>
        <v>600941</v>
      </c>
      <c r="D210">
        <f>'All Points'!R73</f>
        <v>582772</v>
      </c>
      <c r="E210">
        <f>'All Points'!S73</f>
        <v>600919</v>
      </c>
      <c r="F210">
        <f>'All Points'!Y33</f>
        <v>582795</v>
      </c>
      <c r="G210" s="14">
        <f>'All Points'!Z33</f>
        <v>600928</v>
      </c>
    </row>
    <row r="211" spans="1:7">
      <c r="A211" s="29">
        <v>210</v>
      </c>
      <c r="B211">
        <f>'All Points'!R54</f>
        <v>582745</v>
      </c>
      <c r="C211">
        <f>'All Points'!S54</f>
        <v>600920</v>
      </c>
      <c r="D211">
        <f>'All Points'!R74</f>
        <v>582753</v>
      </c>
      <c r="E211">
        <f>'All Points'!S74</f>
        <v>600946</v>
      </c>
      <c r="F211">
        <f>'All Points'!Y34</f>
        <v>582826</v>
      </c>
      <c r="G211" s="14">
        <f>'All Points'!Z34</f>
        <v>600935</v>
      </c>
    </row>
    <row r="212" spans="1:7">
      <c r="A212" s="29">
        <v>211</v>
      </c>
      <c r="B212">
        <f>'All Points'!R55</f>
        <v>582760</v>
      </c>
      <c r="C212">
        <f>'All Points'!S55</f>
        <v>600947</v>
      </c>
      <c r="D212">
        <f>'All Points'!Y5</f>
        <v>582824</v>
      </c>
      <c r="E212" s="14">
        <f>'All Points'!Z5</f>
        <v>600914</v>
      </c>
      <c r="F212">
        <f>'All Points'!Y35</f>
        <v>582837</v>
      </c>
      <c r="G212" s="14">
        <f>'All Points'!Z35</f>
        <v>600931</v>
      </c>
    </row>
    <row r="213" spans="1:7">
      <c r="A213" s="29">
        <v>212</v>
      </c>
      <c r="B213">
        <f>'All Points'!R56</f>
        <v>582787</v>
      </c>
      <c r="C213">
        <f>'All Points'!S56</f>
        <v>600919</v>
      </c>
      <c r="D213">
        <f>'All Points'!Y6</f>
        <v>582813</v>
      </c>
      <c r="E213" s="14">
        <f>'All Points'!Z6</f>
        <v>600940</v>
      </c>
      <c r="F213">
        <f>'All Points'!Y36</f>
        <v>582807</v>
      </c>
      <c r="G213" s="14">
        <f>'All Points'!Z36</f>
        <v>600925</v>
      </c>
    </row>
    <row r="214" spans="1:7">
      <c r="A214" s="29">
        <v>213</v>
      </c>
      <c r="B214">
        <f>'All Points'!R57</f>
        <v>582758</v>
      </c>
      <c r="C214">
        <f>'All Points'!S57</f>
        <v>600938</v>
      </c>
      <c r="D214">
        <f>'All Points'!Y7</f>
        <v>582820</v>
      </c>
      <c r="E214" s="14">
        <f>'All Points'!Z7</f>
        <v>600920</v>
      </c>
      <c r="F214">
        <f>'All Points'!Y37</f>
        <v>582841</v>
      </c>
      <c r="G214" s="14">
        <f>'All Points'!Z37</f>
        <v>600929</v>
      </c>
    </row>
    <row r="215" spans="1:7">
      <c r="A215" s="29">
        <v>214</v>
      </c>
      <c r="B215">
        <f>'All Points'!R58</f>
        <v>582761</v>
      </c>
      <c r="C215">
        <f>'All Points'!S58</f>
        <v>600943</v>
      </c>
      <c r="D215">
        <f>'All Points'!Y8</f>
        <v>582840</v>
      </c>
      <c r="E215" s="14">
        <f>'All Points'!Z8</f>
        <v>600941</v>
      </c>
      <c r="F215">
        <f>'All Points'!Y38</f>
        <v>582814</v>
      </c>
      <c r="G215" s="14">
        <f>'All Points'!Z38</f>
        <v>600926</v>
      </c>
    </row>
    <row r="216" spans="1:7">
      <c r="A216" s="29">
        <v>215</v>
      </c>
      <c r="B216">
        <f>'All Points'!R59</f>
        <v>582786</v>
      </c>
      <c r="C216">
        <f>'All Points'!S59</f>
        <v>600948</v>
      </c>
      <c r="D216">
        <f>'All Points'!Y9</f>
        <v>582829</v>
      </c>
      <c r="E216" s="14">
        <f>'All Points'!Z9</f>
        <v>600942</v>
      </c>
      <c r="F216">
        <f>'All Points'!Y39</f>
        <v>582825</v>
      </c>
      <c r="G216" s="14">
        <f>'All Points'!Z39</f>
        <v>600933</v>
      </c>
    </row>
    <row r="217" spans="1:7">
      <c r="A217" s="29">
        <v>216</v>
      </c>
      <c r="B217">
        <f>'All Points'!R60</f>
        <v>582751</v>
      </c>
      <c r="C217">
        <f>'All Points'!S60</f>
        <v>600940</v>
      </c>
      <c r="D217">
        <f>'All Points'!Y10</f>
        <v>582835</v>
      </c>
      <c r="E217" s="14">
        <f>'All Points'!Z10</f>
        <v>600918</v>
      </c>
      <c r="F217">
        <f>'All Points'!Y40</f>
        <v>582839</v>
      </c>
      <c r="G217" s="14">
        <f>'All Points'!Z40</f>
        <v>600944</v>
      </c>
    </row>
    <row r="218" spans="1:7">
      <c r="A218" s="29">
        <v>217</v>
      </c>
      <c r="B218">
        <f>'All Points'!R61</f>
        <v>582784</v>
      </c>
      <c r="C218">
        <f>'All Points'!S61</f>
        <v>600927</v>
      </c>
      <c r="D218">
        <f>'All Points'!Y11</f>
        <v>582830</v>
      </c>
      <c r="E218" s="14">
        <f>'All Points'!Z11</f>
        <v>600932</v>
      </c>
      <c r="F218">
        <f>'All Points'!Y41</f>
        <v>582841</v>
      </c>
      <c r="G218" s="14">
        <f>'All Points'!Z41</f>
        <v>600939</v>
      </c>
    </row>
    <row r="219" spans="1:7">
      <c r="A219" s="29">
        <v>218</v>
      </c>
      <c r="B219">
        <f>'All Points'!R62</f>
        <v>582752</v>
      </c>
      <c r="C219">
        <f>'All Points'!S62</f>
        <v>600925</v>
      </c>
      <c r="D219">
        <f>'All Points'!Y12</f>
        <v>582845</v>
      </c>
      <c r="E219" s="14">
        <f>'All Points'!Z12</f>
        <v>600911</v>
      </c>
      <c r="F219">
        <f>'All Points'!Y42</f>
        <v>582801</v>
      </c>
      <c r="G219" s="14">
        <f>'All Points'!Z42</f>
        <v>600923</v>
      </c>
    </row>
    <row r="220" spans="1:7">
      <c r="A220" s="29">
        <v>219</v>
      </c>
      <c r="B220">
        <f>'All Points'!R63</f>
        <v>582788</v>
      </c>
      <c r="C220">
        <f>'All Points'!S63</f>
        <v>600913</v>
      </c>
      <c r="D220">
        <f>'All Points'!Y13</f>
        <v>582825</v>
      </c>
      <c r="E220" s="14">
        <f>'All Points'!Z13</f>
        <v>600933</v>
      </c>
      <c r="F220">
        <f>'All Points'!Y43</f>
        <v>582836</v>
      </c>
      <c r="G220" s="14">
        <f>'All Points'!Z43</f>
        <v>600938</v>
      </c>
    </row>
    <row r="221" spans="1:7">
      <c r="A221" s="29">
        <v>220</v>
      </c>
      <c r="B221">
        <f>'All Points'!R64</f>
        <v>582789</v>
      </c>
      <c r="C221">
        <f>'All Points'!S64</f>
        <v>600919</v>
      </c>
      <c r="D221">
        <f>'All Points'!Y14</f>
        <v>582796</v>
      </c>
      <c r="E221" s="14">
        <f>'All Points'!Z14</f>
        <v>600912</v>
      </c>
      <c r="F221">
        <f>'All Points'!Y44</f>
        <v>582824</v>
      </c>
      <c r="G221" s="14">
        <f>'All Points'!Z44</f>
        <v>600919</v>
      </c>
    </row>
    <row r="222" spans="1:7">
      <c r="A222" s="29">
        <v>221</v>
      </c>
      <c r="B222">
        <f>'All Points'!R65</f>
        <v>582747</v>
      </c>
      <c r="C222">
        <f>'All Points'!S65</f>
        <v>600918</v>
      </c>
      <c r="D222">
        <f>'All Points'!Y15</f>
        <v>582810</v>
      </c>
      <c r="E222" s="14">
        <f>'All Points'!Z15</f>
        <v>600940</v>
      </c>
      <c r="F222">
        <f>'All Points'!Y45</f>
        <v>582813</v>
      </c>
      <c r="G222" s="14">
        <f>'All Points'!Z45</f>
        <v>600923</v>
      </c>
    </row>
    <row r="223" spans="1:7">
      <c r="A223" s="29">
        <v>222</v>
      </c>
      <c r="B223">
        <f>'All Points'!R66</f>
        <v>582796</v>
      </c>
      <c r="C223">
        <f>'All Points'!S66</f>
        <v>600920</v>
      </c>
      <c r="D223">
        <f>'All Points'!Y16</f>
        <v>582803</v>
      </c>
      <c r="E223" s="14">
        <f>'All Points'!Z16</f>
        <v>600933</v>
      </c>
      <c r="F223">
        <f>'All Points'!Y46</f>
        <v>582831</v>
      </c>
      <c r="G223" s="14">
        <f>'All Points'!Z46</f>
        <v>600925</v>
      </c>
    </row>
    <row r="224" spans="1:7">
      <c r="A224" s="29">
        <v>223</v>
      </c>
      <c r="B224">
        <f>'All Points'!R67</f>
        <v>582766</v>
      </c>
      <c r="C224">
        <f>'All Points'!S67</f>
        <v>600944</v>
      </c>
      <c r="D224">
        <f>'All Points'!Y17</f>
        <v>582841</v>
      </c>
      <c r="E224" s="14">
        <f>'All Points'!Z17</f>
        <v>600941</v>
      </c>
      <c r="F224">
        <f>'All Points'!Y47</f>
        <v>582838</v>
      </c>
      <c r="G224" s="14">
        <f>'All Points'!Z47</f>
        <v>600929</v>
      </c>
    </row>
    <row r="225" spans="1:7">
      <c r="A225" s="29">
        <v>224</v>
      </c>
      <c r="B225">
        <f>'All Points'!R68</f>
        <v>582790</v>
      </c>
      <c r="C225">
        <f>'All Points'!S68</f>
        <v>600948</v>
      </c>
      <c r="D225">
        <f>'All Points'!Y18</f>
        <v>582808</v>
      </c>
      <c r="E225" s="14">
        <f>'All Points'!Z18</f>
        <v>600925</v>
      </c>
      <c r="F225">
        <f>'All Points'!Y48</f>
        <v>582818</v>
      </c>
      <c r="G225" s="14">
        <f>'All Points'!Z48</f>
        <v>600944</v>
      </c>
    </row>
    <row r="226" spans="1:7">
      <c r="A226" s="29">
        <v>225</v>
      </c>
      <c r="B226">
        <f>'All Points'!R69</f>
        <v>582748</v>
      </c>
      <c r="C226">
        <f>'All Points'!S69</f>
        <v>600922</v>
      </c>
      <c r="D226">
        <f>'All Points'!Y19</f>
        <v>582822</v>
      </c>
      <c r="E226" s="14">
        <f>'All Points'!Z19</f>
        <v>600913</v>
      </c>
      <c r="F226">
        <f>'All Points'!Y49</f>
        <v>582828</v>
      </c>
      <c r="G226" s="14">
        <f>'All Points'!Z49</f>
        <v>600946</v>
      </c>
    </row>
    <row r="227" spans="1:7">
      <c r="A227" s="29">
        <v>226</v>
      </c>
      <c r="B227">
        <f>'All Points'!R70</f>
        <v>582775</v>
      </c>
      <c r="C227">
        <f>'All Points'!S70</f>
        <v>600929</v>
      </c>
      <c r="D227">
        <f>'All Points'!Y20</f>
        <v>582840</v>
      </c>
      <c r="E227" s="14">
        <f>'All Points'!Z20</f>
        <v>600917</v>
      </c>
      <c r="F227">
        <f>'All Points'!Y50</f>
        <v>582837</v>
      </c>
      <c r="G227" s="14">
        <f>'All Points'!Z50</f>
        <v>600915</v>
      </c>
    </row>
    <row r="228" spans="1:7">
      <c r="A228" s="29">
        <v>227</v>
      </c>
      <c r="B228">
        <f>'All Points'!R71</f>
        <v>582766</v>
      </c>
      <c r="C228">
        <f>'All Points'!S71</f>
        <v>600945</v>
      </c>
      <c r="D228">
        <f>'All Points'!Y21</f>
        <v>582843</v>
      </c>
      <c r="E228" s="14">
        <f>'All Points'!Z21</f>
        <v>600934</v>
      </c>
      <c r="F228">
        <f>'All Points'!Y51</f>
        <v>582828</v>
      </c>
      <c r="G228" s="14">
        <f>'All Points'!Z51</f>
        <v>600940</v>
      </c>
    </row>
    <row r="229" spans="1:7">
      <c r="A229" s="29">
        <v>228</v>
      </c>
      <c r="B229">
        <f>'All Points'!R72</f>
        <v>582745</v>
      </c>
      <c r="C229">
        <f>'All Points'!S72</f>
        <v>600919</v>
      </c>
      <c r="D229">
        <f>'All Points'!Y22</f>
        <v>582805</v>
      </c>
      <c r="E229" s="14">
        <f>'All Points'!Z22</f>
        <v>600934</v>
      </c>
      <c r="F229">
        <f>'All Points'!Y52</f>
        <v>582802</v>
      </c>
      <c r="G229" s="14">
        <f>'All Points'!Z52</f>
        <v>600915</v>
      </c>
    </row>
    <row r="230" spans="1:7">
      <c r="A230" s="29">
        <v>229</v>
      </c>
      <c r="B230">
        <f>'All Points'!R73</f>
        <v>582772</v>
      </c>
      <c r="C230">
        <f>'All Points'!S73</f>
        <v>600919</v>
      </c>
      <c r="D230">
        <f>'All Points'!Y23</f>
        <v>582818</v>
      </c>
      <c r="E230" s="14">
        <f>'All Points'!Z23</f>
        <v>600928</v>
      </c>
      <c r="F230">
        <f>'All Points'!Y53</f>
        <v>582797</v>
      </c>
      <c r="G230" s="14">
        <f>'All Points'!Z53</f>
        <v>600915</v>
      </c>
    </row>
    <row r="231" spans="1:7">
      <c r="A231" s="29">
        <v>230</v>
      </c>
      <c r="B231">
        <f>'All Points'!R74</f>
        <v>582753</v>
      </c>
      <c r="C231">
        <f>'All Points'!S74</f>
        <v>600946</v>
      </c>
      <c r="D231">
        <f>'All Points'!Y24</f>
        <v>582796</v>
      </c>
      <c r="E231" s="14">
        <f>'All Points'!Z24</f>
        <v>600919</v>
      </c>
      <c r="F231">
        <f>'All Points'!Y54</f>
        <v>582804</v>
      </c>
      <c r="G231" s="14">
        <f>'All Points'!Z54</f>
        <v>600943</v>
      </c>
    </row>
    <row r="232" spans="1:7">
      <c r="A232" s="29">
        <v>231</v>
      </c>
      <c r="B232">
        <f>'All Points'!R75</f>
        <v>582763</v>
      </c>
      <c r="C232">
        <f>'All Points'!S75</f>
        <v>600936</v>
      </c>
      <c r="D232">
        <f>'All Points'!Y25</f>
        <v>582805</v>
      </c>
      <c r="E232" s="14">
        <f>'All Points'!Z25</f>
        <v>600922</v>
      </c>
      <c r="F232">
        <f>'All Points'!Y55</f>
        <v>582822</v>
      </c>
      <c r="G232" s="14">
        <f>'All Points'!Z55</f>
        <v>600924</v>
      </c>
    </row>
    <row r="233" spans="1:7">
      <c r="A233" s="29">
        <v>232</v>
      </c>
      <c r="B233">
        <f>'All Points'!R76</f>
        <v>582770</v>
      </c>
      <c r="C233">
        <f>'All Points'!S76</f>
        <v>600917</v>
      </c>
      <c r="D233">
        <f>'All Points'!Y26</f>
        <v>582833</v>
      </c>
      <c r="E233" s="14">
        <f>'All Points'!Z26</f>
        <v>600933</v>
      </c>
      <c r="F233">
        <f>'All Points'!Y56</f>
        <v>582837</v>
      </c>
      <c r="G233" s="14">
        <f>'All Points'!Z56</f>
        <v>600923</v>
      </c>
    </row>
    <row r="234" spans="1:7">
      <c r="A234" s="29">
        <v>233</v>
      </c>
      <c r="B234">
        <f>'All Points'!R77</f>
        <v>582751</v>
      </c>
      <c r="C234">
        <f>'All Points'!S77</f>
        <v>600938</v>
      </c>
      <c r="D234">
        <f>'All Points'!Y27</f>
        <v>582805</v>
      </c>
      <c r="E234" s="14">
        <f>'All Points'!Z27</f>
        <v>600926</v>
      </c>
      <c r="F234">
        <f>'All Points'!Y57</f>
        <v>582806</v>
      </c>
      <c r="G234" s="14">
        <f>'All Points'!Z57</f>
        <v>600930</v>
      </c>
    </row>
    <row r="235" spans="1:7">
      <c r="A235" s="29">
        <v>234</v>
      </c>
      <c r="B235">
        <f>'All Points'!R78</f>
        <v>582766</v>
      </c>
      <c r="C235">
        <f>'All Points'!S78</f>
        <v>600924</v>
      </c>
      <c r="D235">
        <f>'All Points'!Y28</f>
        <v>582822</v>
      </c>
      <c r="E235" s="14">
        <f>'All Points'!Z28</f>
        <v>600945</v>
      </c>
      <c r="F235">
        <f>'All Points'!Y58</f>
        <v>582830</v>
      </c>
      <c r="G235" s="14">
        <f>'All Points'!Z58</f>
        <v>600936</v>
      </c>
    </row>
    <row r="236" spans="1:7">
      <c r="A236" s="29">
        <v>235</v>
      </c>
      <c r="B236">
        <f>'All Points'!R79</f>
        <v>582787</v>
      </c>
      <c r="C236">
        <f>'All Points'!S79</f>
        <v>600928</v>
      </c>
      <c r="D236">
        <f>'All Points'!Y29</f>
        <v>582836</v>
      </c>
      <c r="E236" s="14">
        <f>'All Points'!Z29</f>
        <v>600920</v>
      </c>
      <c r="F236">
        <f>'All Points'!Y59</f>
        <v>582822</v>
      </c>
      <c r="G236" s="14">
        <f>'All Points'!Z59</f>
        <v>600941</v>
      </c>
    </row>
    <row r="237" spans="1:7">
      <c r="A237" s="29">
        <v>236</v>
      </c>
      <c r="B237">
        <f>'All Points'!R80</f>
        <v>582750</v>
      </c>
      <c r="C237">
        <f>'All Points'!S80</f>
        <v>600951</v>
      </c>
      <c r="D237">
        <f>'All Points'!Y30</f>
        <v>582845</v>
      </c>
      <c r="E237" s="14">
        <f>'All Points'!Z30</f>
        <v>600921</v>
      </c>
      <c r="F237">
        <f>'All Points'!Y60</f>
        <v>582819</v>
      </c>
      <c r="G237" s="14">
        <f>'All Points'!Z60</f>
        <v>600913</v>
      </c>
    </row>
    <row r="238" spans="1:7">
      <c r="A238" s="29">
        <v>237</v>
      </c>
      <c r="B238">
        <f>'All Points'!R81</f>
        <v>582755</v>
      </c>
      <c r="C238">
        <f>'All Points'!S81</f>
        <v>600919</v>
      </c>
      <c r="D238">
        <f>'All Points'!Y31</f>
        <v>582803</v>
      </c>
      <c r="E238" s="14">
        <f>'All Points'!Z31</f>
        <v>600917</v>
      </c>
      <c r="F238">
        <f>'All Points'!Y61</f>
        <v>582818</v>
      </c>
      <c r="G238" s="14">
        <f>'All Points'!Z61</f>
        <v>600924</v>
      </c>
    </row>
    <row r="239" spans="1:7">
      <c r="A239" s="29">
        <v>238</v>
      </c>
      <c r="B239">
        <f>'All Points'!R82</f>
        <v>582767</v>
      </c>
      <c r="C239">
        <f>'All Points'!S82</f>
        <v>600941</v>
      </c>
      <c r="D239">
        <f>'All Points'!Y32</f>
        <v>582827</v>
      </c>
      <c r="E239" s="14">
        <f>'All Points'!Z32</f>
        <v>600939</v>
      </c>
      <c r="F239">
        <f>'All Points'!Y62</f>
        <v>582802</v>
      </c>
      <c r="G239" s="14">
        <f>'All Points'!Z62</f>
        <v>600932</v>
      </c>
    </row>
    <row r="240" spans="1:7">
      <c r="A240" s="29">
        <v>239</v>
      </c>
      <c r="B240">
        <f>'All Points'!R83</f>
        <v>582769</v>
      </c>
      <c r="C240">
        <f>'All Points'!S83</f>
        <v>600936</v>
      </c>
      <c r="D240">
        <f>'All Points'!Y33</f>
        <v>582795</v>
      </c>
      <c r="E240" s="14">
        <f>'All Points'!Z33</f>
        <v>600928</v>
      </c>
      <c r="F240">
        <f>'All Points'!Y63</f>
        <v>582805</v>
      </c>
      <c r="G240" s="14">
        <f>'All Points'!Z63</f>
        <v>600935</v>
      </c>
    </row>
    <row r="241" spans="1:7">
      <c r="A241" s="29">
        <v>240</v>
      </c>
      <c r="B241">
        <f>'All Points'!R84</f>
        <v>582773</v>
      </c>
      <c r="C241">
        <f>'All Points'!S84</f>
        <v>600915</v>
      </c>
      <c r="D241">
        <f>'All Points'!Y34</f>
        <v>582826</v>
      </c>
      <c r="E241" s="14">
        <f>'All Points'!Z34</f>
        <v>600935</v>
      </c>
      <c r="F241">
        <f>'All Points'!Y64</f>
        <v>582813</v>
      </c>
      <c r="G241" s="14">
        <f>'All Points'!Z64</f>
        <v>600919</v>
      </c>
    </row>
    <row r="242" spans="1:7">
      <c r="A242" s="29">
        <v>241</v>
      </c>
      <c r="B242">
        <f>'All Points'!Y5</f>
        <v>582824</v>
      </c>
      <c r="C242">
        <f>'All Points'!Z5</f>
        <v>600914</v>
      </c>
      <c r="D242">
        <f>'All Points'!Y35</f>
        <v>582837</v>
      </c>
      <c r="E242" s="14">
        <f>'All Points'!Z35</f>
        <v>600931</v>
      </c>
    </row>
    <row r="243" spans="1:7">
      <c r="A243" s="29">
        <v>242</v>
      </c>
      <c r="B243">
        <f>'All Points'!Y6</f>
        <v>582813</v>
      </c>
      <c r="C243">
        <f>'All Points'!Z6</f>
        <v>600940</v>
      </c>
      <c r="D243">
        <f>'All Points'!Y36</f>
        <v>582807</v>
      </c>
      <c r="E243" s="14">
        <f>'All Points'!Z36</f>
        <v>600925</v>
      </c>
    </row>
    <row r="244" spans="1:7">
      <c r="A244" s="29">
        <v>243</v>
      </c>
      <c r="B244">
        <f>'All Points'!Y7</f>
        <v>582820</v>
      </c>
      <c r="C244">
        <f>'All Points'!Z7</f>
        <v>600920</v>
      </c>
      <c r="D244">
        <f>'All Points'!Y37</f>
        <v>582841</v>
      </c>
      <c r="E244" s="14">
        <f>'All Points'!Z37</f>
        <v>600929</v>
      </c>
    </row>
    <row r="245" spans="1:7">
      <c r="A245" s="29">
        <v>244</v>
      </c>
      <c r="B245">
        <f>'All Points'!Y8</f>
        <v>582840</v>
      </c>
      <c r="C245">
        <f>'All Points'!Z8</f>
        <v>600941</v>
      </c>
      <c r="D245">
        <f>'All Points'!Y38</f>
        <v>582814</v>
      </c>
      <c r="E245" s="14">
        <f>'All Points'!Z38</f>
        <v>600926</v>
      </c>
    </row>
    <row r="246" spans="1:7">
      <c r="A246" s="29">
        <v>245</v>
      </c>
      <c r="B246">
        <f>'All Points'!Y9</f>
        <v>582829</v>
      </c>
      <c r="C246">
        <f>'All Points'!Z9</f>
        <v>600942</v>
      </c>
      <c r="D246">
        <f>'All Points'!Y39</f>
        <v>582825</v>
      </c>
      <c r="E246" s="14">
        <f>'All Points'!Z39</f>
        <v>600933</v>
      </c>
    </row>
    <row r="247" spans="1:7">
      <c r="A247" s="29">
        <v>246</v>
      </c>
      <c r="B247">
        <f>'All Points'!Y10</f>
        <v>582835</v>
      </c>
      <c r="C247">
        <f>'All Points'!Z10</f>
        <v>600918</v>
      </c>
      <c r="D247">
        <f>'All Points'!Y40</f>
        <v>582839</v>
      </c>
      <c r="E247" s="14">
        <f>'All Points'!Z40</f>
        <v>600944</v>
      </c>
    </row>
    <row r="248" spans="1:7">
      <c r="A248" s="29">
        <v>247</v>
      </c>
      <c r="B248">
        <f>'All Points'!Y11</f>
        <v>582830</v>
      </c>
      <c r="C248">
        <f>'All Points'!Z11</f>
        <v>600932</v>
      </c>
      <c r="D248">
        <f>'All Points'!Y41</f>
        <v>582841</v>
      </c>
      <c r="E248" s="14">
        <f>'All Points'!Z41</f>
        <v>600939</v>
      </c>
    </row>
    <row r="249" spans="1:7">
      <c r="A249" s="29">
        <v>248</v>
      </c>
      <c r="B249">
        <f>'All Points'!Y12</f>
        <v>582845</v>
      </c>
      <c r="C249">
        <f>'All Points'!Z12</f>
        <v>600911</v>
      </c>
      <c r="D249">
        <f>'All Points'!Y42</f>
        <v>582801</v>
      </c>
      <c r="E249" s="14">
        <f>'All Points'!Z42</f>
        <v>600923</v>
      </c>
    </row>
    <row r="250" spans="1:7">
      <c r="A250" s="29">
        <v>249</v>
      </c>
      <c r="B250">
        <f>'All Points'!Y13</f>
        <v>582825</v>
      </c>
      <c r="C250">
        <f>'All Points'!Z13</f>
        <v>600933</v>
      </c>
      <c r="D250">
        <f>'All Points'!Y43</f>
        <v>582836</v>
      </c>
      <c r="E250" s="14">
        <f>'All Points'!Z43</f>
        <v>600938</v>
      </c>
    </row>
    <row r="251" spans="1:7">
      <c r="A251" s="29">
        <v>250</v>
      </c>
      <c r="B251">
        <f>'All Points'!Y14</f>
        <v>582796</v>
      </c>
      <c r="C251">
        <f>'All Points'!Z14</f>
        <v>600912</v>
      </c>
      <c r="D251">
        <f>'All Points'!Y44</f>
        <v>582824</v>
      </c>
      <c r="E251" s="14">
        <f>'All Points'!Z44</f>
        <v>600919</v>
      </c>
    </row>
    <row r="252" spans="1:7">
      <c r="A252" s="29">
        <v>251</v>
      </c>
      <c r="B252">
        <f>'All Points'!Y15</f>
        <v>582810</v>
      </c>
      <c r="C252">
        <f>'All Points'!Z15</f>
        <v>600940</v>
      </c>
      <c r="D252">
        <f>'All Points'!Y45</f>
        <v>582813</v>
      </c>
      <c r="E252" s="14">
        <f>'All Points'!Z45</f>
        <v>600923</v>
      </c>
    </row>
    <row r="253" spans="1:7">
      <c r="A253" s="29">
        <v>252</v>
      </c>
      <c r="B253">
        <f>'All Points'!Y16</f>
        <v>582803</v>
      </c>
      <c r="C253">
        <f>'All Points'!Z16</f>
        <v>600933</v>
      </c>
      <c r="D253">
        <f>'All Points'!Y46</f>
        <v>582831</v>
      </c>
      <c r="E253" s="14">
        <f>'All Points'!Z46</f>
        <v>600925</v>
      </c>
    </row>
    <row r="254" spans="1:7">
      <c r="A254" s="29">
        <v>253</v>
      </c>
      <c r="B254">
        <f>'All Points'!Y17</f>
        <v>582841</v>
      </c>
      <c r="C254">
        <f>'All Points'!Z17</f>
        <v>600941</v>
      </c>
      <c r="D254">
        <f>'All Points'!Y47</f>
        <v>582838</v>
      </c>
      <c r="E254" s="14">
        <f>'All Points'!Z47</f>
        <v>600929</v>
      </c>
    </row>
    <row r="255" spans="1:7">
      <c r="A255" s="29">
        <v>254</v>
      </c>
      <c r="B255">
        <f>'All Points'!Y18</f>
        <v>582808</v>
      </c>
      <c r="C255">
        <f>'All Points'!Z18</f>
        <v>600925</v>
      </c>
      <c r="D255">
        <f>'All Points'!Y48</f>
        <v>582818</v>
      </c>
      <c r="E255" s="14">
        <f>'All Points'!Z48</f>
        <v>600944</v>
      </c>
    </row>
    <row r="256" spans="1:7">
      <c r="A256" s="29">
        <v>255</v>
      </c>
      <c r="B256">
        <f>'All Points'!Y19</f>
        <v>582822</v>
      </c>
      <c r="C256">
        <f>'All Points'!Z19</f>
        <v>600913</v>
      </c>
      <c r="D256">
        <f>'All Points'!Y49</f>
        <v>582828</v>
      </c>
      <c r="E256" s="14">
        <f>'All Points'!Z49</f>
        <v>600946</v>
      </c>
    </row>
    <row r="257" spans="1:5">
      <c r="A257" s="29">
        <v>256</v>
      </c>
      <c r="B257">
        <f>'All Points'!Y20</f>
        <v>582840</v>
      </c>
      <c r="C257">
        <f>'All Points'!Z20</f>
        <v>600917</v>
      </c>
      <c r="D257">
        <f>'All Points'!Y50</f>
        <v>582837</v>
      </c>
      <c r="E257" s="14">
        <f>'All Points'!Z50</f>
        <v>600915</v>
      </c>
    </row>
    <row r="258" spans="1:5">
      <c r="A258" s="29">
        <v>257</v>
      </c>
      <c r="B258">
        <f>'All Points'!Y21</f>
        <v>582843</v>
      </c>
      <c r="C258">
        <f>'All Points'!Z21</f>
        <v>600934</v>
      </c>
      <c r="D258">
        <f>'All Points'!Y51</f>
        <v>582828</v>
      </c>
      <c r="E258" s="14">
        <f>'All Points'!Z51</f>
        <v>600940</v>
      </c>
    </row>
    <row r="259" spans="1:5">
      <c r="A259" s="29">
        <v>258</v>
      </c>
      <c r="B259">
        <f>'All Points'!Y22</f>
        <v>582805</v>
      </c>
      <c r="C259">
        <f>'All Points'!Z22</f>
        <v>600934</v>
      </c>
      <c r="D259">
        <f>'All Points'!Y52</f>
        <v>582802</v>
      </c>
      <c r="E259" s="14">
        <f>'All Points'!Z52</f>
        <v>600915</v>
      </c>
    </row>
    <row r="260" spans="1:5">
      <c r="A260" s="29">
        <v>259</v>
      </c>
      <c r="B260">
        <f>'All Points'!Y23</f>
        <v>582818</v>
      </c>
      <c r="C260">
        <f>'All Points'!Z23</f>
        <v>600928</v>
      </c>
      <c r="D260">
        <f>'All Points'!Y53</f>
        <v>582797</v>
      </c>
      <c r="E260" s="14">
        <f>'All Points'!Z53</f>
        <v>600915</v>
      </c>
    </row>
    <row r="261" spans="1:5">
      <c r="A261" s="29">
        <v>260</v>
      </c>
      <c r="B261">
        <f>'All Points'!Y24</f>
        <v>582796</v>
      </c>
      <c r="C261">
        <f>'All Points'!Z24</f>
        <v>600919</v>
      </c>
      <c r="D261">
        <f>'All Points'!Y54</f>
        <v>582804</v>
      </c>
      <c r="E261" s="14">
        <f>'All Points'!Z54</f>
        <v>600943</v>
      </c>
    </row>
    <row r="262" spans="1:5">
      <c r="A262" s="29">
        <v>261</v>
      </c>
      <c r="B262">
        <f>'All Points'!Y25</f>
        <v>582805</v>
      </c>
      <c r="C262">
        <f>'All Points'!Z25</f>
        <v>600922</v>
      </c>
      <c r="D262">
        <f>'All Points'!Y55</f>
        <v>582822</v>
      </c>
      <c r="E262" s="14">
        <f>'All Points'!Z55</f>
        <v>600924</v>
      </c>
    </row>
    <row r="263" spans="1:5">
      <c r="A263" s="29">
        <v>262</v>
      </c>
      <c r="B263">
        <f>'All Points'!Y26</f>
        <v>582833</v>
      </c>
      <c r="C263">
        <f>'All Points'!Z26</f>
        <v>600933</v>
      </c>
      <c r="D263">
        <f>'All Points'!Y56</f>
        <v>582837</v>
      </c>
      <c r="E263" s="14">
        <f>'All Points'!Z56</f>
        <v>600923</v>
      </c>
    </row>
    <row r="264" spans="1:5">
      <c r="A264" s="29">
        <v>263</v>
      </c>
      <c r="B264">
        <f>'All Points'!Y27</f>
        <v>582805</v>
      </c>
      <c r="C264">
        <f>'All Points'!Z27</f>
        <v>600926</v>
      </c>
      <c r="D264">
        <f>'All Points'!Y57</f>
        <v>582806</v>
      </c>
      <c r="E264" s="14">
        <f>'All Points'!Z57</f>
        <v>600930</v>
      </c>
    </row>
    <row r="265" spans="1:5">
      <c r="A265" s="29">
        <v>264</v>
      </c>
      <c r="B265">
        <f>'All Points'!Y28</f>
        <v>582822</v>
      </c>
      <c r="C265">
        <f>'All Points'!Z28</f>
        <v>600945</v>
      </c>
      <c r="D265">
        <f>'All Points'!Y58</f>
        <v>582830</v>
      </c>
      <c r="E265" s="14">
        <f>'All Points'!Z58</f>
        <v>600936</v>
      </c>
    </row>
    <row r="266" spans="1:5">
      <c r="A266" s="29">
        <v>265</v>
      </c>
      <c r="B266">
        <f>'All Points'!Y29</f>
        <v>582836</v>
      </c>
      <c r="C266">
        <f>'All Points'!Z29</f>
        <v>600920</v>
      </c>
      <c r="D266">
        <f>'All Points'!Y59</f>
        <v>582822</v>
      </c>
      <c r="E266" s="14">
        <f>'All Points'!Z59</f>
        <v>600941</v>
      </c>
    </row>
    <row r="267" spans="1:5">
      <c r="A267" s="29">
        <v>266</v>
      </c>
      <c r="B267">
        <f>'All Points'!Y30</f>
        <v>582845</v>
      </c>
      <c r="C267">
        <f>'All Points'!Z30</f>
        <v>600921</v>
      </c>
      <c r="D267">
        <f>'All Points'!Y60</f>
        <v>582819</v>
      </c>
      <c r="E267" s="14">
        <f>'All Points'!Z60</f>
        <v>600913</v>
      </c>
    </row>
    <row r="268" spans="1:5">
      <c r="A268" s="29">
        <v>267</v>
      </c>
      <c r="B268">
        <f>'All Points'!Y31</f>
        <v>582803</v>
      </c>
      <c r="C268">
        <f>'All Points'!Z31</f>
        <v>600917</v>
      </c>
      <c r="D268">
        <f>'All Points'!Y61</f>
        <v>582818</v>
      </c>
      <c r="E268" s="14">
        <f>'All Points'!Z61</f>
        <v>600924</v>
      </c>
    </row>
    <row r="269" spans="1:5">
      <c r="A269" s="29">
        <v>268</v>
      </c>
      <c r="B269">
        <f>'All Points'!Y32</f>
        <v>582827</v>
      </c>
      <c r="C269">
        <f>'All Points'!Z32</f>
        <v>600939</v>
      </c>
      <c r="D269">
        <f>'All Points'!Y62</f>
        <v>582802</v>
      </c>
      <c r="E269" s="14">
        <f>'All Points'!Z62</f>
        <v>600932</v>
      </c>
    </row>
    <row r="270" spans="1:5">
      <c r="A270" s="29">
        <v>269</v>
      </c>
      <c r="B270">
        <f>'All Points'!Y33</f>
        <v>582795</v>
      </c>
      <c r="C270">
        <f>'All Points'!Z33</f>
        <v>600928</v>
      </c>
      <c r="D270">
        <f>'All Points'!Y63</f>
        <v>582805</v>
      </c>
      <c r="E270" s="14">
        <f>'All Points'!Z63</f>
        <v>600935</v>
      </c>
    </row>
    <row r="271" spans="1:5">
      <c r="A271" s="29">
        <v>270</v>
      </c>
      <c r="B271">
        <f>'All Points'!Y34</f>
        <v>582826</v>
      </c>
      <c r="C271">
        <f>'All Points'!Z34</f>
        <v>600935</v>
      </c>
      <c r="D271">
        <f>'All Points'!Y64</f>
        <v>582813</v>
      </c>
      <c r="E271" s="14">
        <f>'All Points'!Z64</f>
        <v>600919</v>
      </c>
    </row>
    <row r="272" spans="1:5">
      <c r="A272" s="29">
        <v>271</v>
      </c>
      <c r="B272">
        <f>'All Points'!Y35</f>
        <v>582837</v>
      </c>
      <c r="C272">
        <f>'All Points'!Z35</f>
        <v>600931</v>
      </c>
      <c r="D272">
        <f>'All Points'!Y65</f>
        <v>582835</v>
      </c>
      <c r="E272" s="14">
        <f>'All Points'!Z65</f>
        <v>600947</v>
      </c>
    </row>
    <row r="273" spans="1:5">
      <c r="A273" s="29">
        <v>272</v>
      </c>
      <c r="B273">
        <f>'All Points'!Y36</f>
        <v>582807</v>
      </c>
      <c r="C273">
        <f>'All Points'!Z36</f>
        <v>600925</v>
      </c>
      <c r="D273">
        <f>'All Points'!Y66</f>
        <v>582810</v>
      </c>
      <c r="E273" s="14">
        <f>'All Points'!Z66</f>
        <v>600910</v>
      </c>
    </row>
    <row r="274" spans="1:5">
      <c r="A274" s="29">
        <v>273</v>
      </c>
      <c r="B274">
        <f>'All Points'!Y37</f>
        <v>582841</v>
      </c>
      <c r="C274">
        <f>'All Points'!Z37</f>
        <v>600929</v>
      </c>
      <c r="D274">
        <f>'All Points'!Y67</f>
        <v>582823</v>
      </c>
      <c r="E274" s="14">
        <f>'All Points'!Z67</f>
        <v>600916</v>
      </c>
    </row>
    <row r="275" spans="1:5">
      <c r="A275" s="29">
        <v>274</v>
      </c>
      <c r="B275">
        <f>'All Points'!Y38</f>
        <v>582814</v>
      </c>
      <c r="C275">
        <f>'All Points'!Z38</f>
        <v>600926</v>
      </c>
      <c r="D275">
        <f>'All Points'!Y68</f>
        <v>582810</v>
      </c>
      <c r="E275" s="14">
        <f>'All Points'!Z68</f>
        <v>600933</v>
      </c>
    </row>
    <row r="276" spans="1:5">
      <c r="A276" s="29">
        <v>275</v>
      </c>
      <c r="B276">
        <f>'All Points'!Y39</f>
        <v>582825</v>
      </c>
      <c r="C276">
        <f>'All Points'!Z39</f>
        <v>600933</v>
      </c>
      <c r="D276">
        <f>'All Points'!Y69</f>
        <v>582845</v>
      </c>
      <c r="E276" s="14">
        <f>'All Points'!Z69</f>
        <v>600916</v>
      </c>
    </row>
    <row r="277" spans="1:5">
      <c r="A277" s="29">
        <v>276</v>
      </c>
      <c r="B277">
        <f>'All Points'!Y40</f>
        <v>582839</v>
      </c>
      <c r="C277">
        <f>'All Points'!Z40</f>
        <v>600944</v>
      </c>
      <c r="D277">
        <f>'All Points'!Y70</f>
        <v>582836</v>
      </c>
      <c r="E277" s="14">
        <f>'All Points'!Z70</f>
        <v>600929</v>
      </c>
    </row>
    <row r="278" spans="1:5">
      <c r="A278" s="29">
        <v>277</v>
      </c>
      <c r="B278">
        <f>'All Points'!Y41</f>
        <v>582841</v>
      </c>
      <c r="C278">
        <f>'All Points'!Z41</f>
        <v>600939</v>
      </c>
      <c r="D278">
        <f>'All Points'!Y71</f>
        <v>582796</v>
      </c>
      <c r="E278" s="14">
        <f>'All Points'!Z71</f>
        <v>600911</v>
      </c>
    </row>
    <row r="279" spans="1:5">
      <c r="A279" s="29">
        <v>278</v>
      </c>
      <c r="B279">
        <f>'All Points'!Y42</f>
        <v>582801</v>
      </c>
      <c r="C279">
        <f>'All Points'!Z42</f>
        <v>600923</v>
      </c>
      <c r="D279">
        <f>'All Points'!Y72</f>
        <v>582839</v>
      </c>
      <c r="E279" s="14">
        <f>'All Points'!Z72</f>
        <v>600926</v>
      </c>
    </row>
    <row r="280" spans="1:5">
      <c r="A280" s="29">
        <v>279</v>
      </c>
      <c r="B280">
        <f>'All Points'!Y43</f>
        <v>582836</v>
      </c>
      <c r="C280">
        <f>'All Points'!Z43</f>
        <v>600938</v>
      </c>
      <c r="D280">
        <f>'All Points'!Y73</f>
        <v>582801</v>
      </c>
      <c r="E280" s="14">
        <f>'All Points'!Z73</f>
        <v>600938</v>
      </c>
    </row>
    <row r="281" spans="1:5">
      <c r="A281" s="29">
        <v>280</v>
      </c>
      <c r="B281">
        <f>'All Points'!Y44</f>
        <v>582824</v>
      </c>
      <c r="C281">
        <f>'All Points'!Z44</f>
        <v>600919</v>
      </c>
      <c r="D281">
        <f>'All Points'!Y74</f>
        <v>582826</v>
      </c>
      <c r="E281" s="14">
        <f>'All Points'!Z74</f>
        <v>600934</v>
      </c>
    </row>
    <row r="282" spans="1:5">
      <c r="A282" s="29">
        <v>281</v>
      </c>
      <c r="B282">
        <f>'All Points'!Y45</f>
        <v>582813</v>
      </c>
      <c r="C282">
        <f>'All Points'!Z45</f>
        <v>600923</v>
      </c>
    </row>
    <row r="283" spans="1:5">
      <c r="A283" s="29">
        <v>282</v>
      </c>
      <c r="B283">
        <f>'All Points'!Y46</f>
        <v>582831</v>
      </c>
      <c r="C283">
        <f>'All Points'!Z46</f>
        <v>600925</v>
      </c>
    </row>
    <row r="284" spans="1:5">
      <c r="A284" s="29">
        <v>283</v>
      </c>
      <c r="B284">
        <f>'All Points'!Y47</f>
        <v>582838</v>
      </c>
      <c r="C284">
        <f>'All Points'!Z47</f>
        <v>600929</v>
      </c>
    </row>
    <row r="285" spans="1:5">
      <c r="A285" s="29">
        <v>284</v>
      </c>
      <c r="B285">
        <f>'All Points'!Y48</f>
        <v>582818</v>
      </c>
      <c r="C285">
        <f>'All Points'!Z48</f>
        <v>600944</v>
      </c>
    </row>
    <row r="286" spans="1:5">
      <c r="A286" s="29">
        <v>285</v>
      </c>
      <c r="B286">
        <f>'All Points'!Y49</f>
        <v>582828</v>
      </c>
      <c r="C286">
        <f>'All Points'!Z49</f>
        <v>600946</v>
      </c>
    </row>
    <row r="287" spans="1:5">
      <c r="A287" s="29">
        <v>286</v>
      </c>
      <c r="B287">
        <f>'All Points'!Y50</f>
        <v>582837</v>
      </c>
      <c r="C287">
        <f>'All Points'!Z50</f>
        <v>600915</v>
      </c>
    </row>
    <row r="288" spans="1:5">
      <c r="A288" s="29">
        <v>287</v>
      </c>
      <c r="B288">
        <f>'All Points'!Y51</f>
        <v>582828</v>
      </c>
      <c r="C288">
        <f>'All Points'!Z51</f>
        <v>600940</v>
      </c>
    </row>
    <row r="289" spans="1:3">
      <c r="A289" s="29">
        <v>288</v>
      </c>
      <c r="B289">
        <f>'All Points'!Y52</f>
        <v>582802</v>
      </c>
      <c r="C289">
        <f>'All Points'!Z52</f>
        <v>600915</v>
      </c>
    </row>
    <row r="290" spans="1:3">
      <c r="A290" s="29">
        <v>289</v>
      </c>
      <c r="B290">
        <f>'All Points'!Y53</f>
        <v>582797</v>
      </c>
      <c r="C290">
        <f>'All Points'!Z53</f>
        <v>600915</v>
      </c>
    </row>
    <row r="291" spans="1:3">
      <c r="A291" s="29">
        <v>290</v>
      </c>
      <c r="B291">
        <f>'All Points'!Y54</f>
        <v>582804</v>
      </c>
      <c r="C291">
        <f>'All Points'!Z54</f>
        <v>600943</v>
      </c>
    </row>
    <row r="292" spans="1:3">
      <c r="A292" s="29">
        <v>291</v>
      </c>
      <c r="B292">
        <f>'All Points'!Y55</f>
        <v>582822</v>
      </c>
      <c r="C292">
        <f>'All Points'!Z55</f>
        <v>600924</v>
      </c>
    </row>
    <row r="293" spans="1:3">
      <c r="A293" s="29">
        <v>292</v>
      </c>
      <c r="B293">
        <f>'All Points'!Y56</f>
        <v>582837</v>
      </c>
      <c r="C293">
        <f>'All Points'!Z56</f>
        <v>600923</v>
      </c>
    </row>
    <row r="294" spans="1:3">
      <c r="A294" s="29">
        <v>293</v>
      </c>
      <c r="B294">
        <f>'All Points'!Y57</f>
        <v>582806</v>
      </c>
      <c r="C294">
        <f>'All Points'!Z57</f>
        <v>600930</v>
      </c>
    </row>
    <row r="295" spans="1:3">
      <c r="A295" s="29">
        <v>294</v>
      </c>
      <c r="B295">
        <f>'All Points'!Y58</f>
        <v>582830</v>
      </c>
      <c r="C295">
        <f>'All Points'!Z58</f>
        <v>600936</v>
      </c>
    </row>
    <row r="296" spans="1:3">
      <c r="A296" s="29">
        <v>295</v>
      </c>
      <c r="B296">
        <f>'All Points'!Y59</f>
        <v>582822</v>
      </c>
      <c r="C296">
        <f>'All Points'!Z59</f>
        <v>600941</v>
      </c>
    </row>
    <row r="297" spans="1:3">
      <c r="A297" s="29">
        <v>296</v>
      </c>
      <c r="B297">
        <f>'All Points'!Y60</f>
        <v>582819</v>
      </c>
      <c r="C297">
        <f>'All Points'!Z60</f>
        <v>600913</v>
      </c>
    </row>
    <row r="298" spans="1:3">
      <c r="A298" s="29">
        <v>297</v>
      </c>
      <c r="B298">
        <f>'All Points'!Y61</f>
        <v>582818</v>
      </c>
      <c r="C298">
        <f>'All Points'!Z61</f>
        <v>600924</v>
      </c>
    </row>
    <row r="299" spans="1:3">
      <c r="A299" s="29">
        <v>298</v>
      </c>
      <c r="B299">
        <f>'All Points'!Y62</f>
        <v>582802</v>
      </c>
      <c r="C299">
        <f>'All Points'!Z62</f>
        <v>600932</v>
      </c>
    </row>
    <row r="300" spans="1:3">
      <c r="A300" s="29">
        <v>299</v>
      </c>
      <c r="B300">
        <f>'All Points'!Y63</f>
        <v>582805</v>
      </c>
      <c r="C300">
        <f>'All Points'!Z63</f>
        <v>600935</v>
      </c>
    </row>
    <row r="301" spans="1:3">
      <c r="A301" s="29">
        <v>300</v>
      </c>
      <c r="B301">
        <f>'All Points'!Y64</f>
        <v>582813</v>
      </c>
      <c r="C301">
        <f>'All Points'!Z64</f>
        <v>600919</v>
      </c>
    </row>
    <row r="302" spans="1:3">
      <c r="A302" s="29">
        <v>301</v>
      </c>
      <c r="B302">
        <f>'All Points'!Y65</f>
        <v>582835</v>
      </c>
      <c r="C302">
        <f>'All Points'!Z65</f>
        <v>600947</v>
      </c>
    </row>
    <row r="303" spans="1:3">
      <c r="A303" s="29">
        <v>302</v>
      </c>
      <c r="B303">
        <f>'All Points'!Y66</f>
        <v>582810</v>
      </c>
      <c r="C303">
        <f>'All Points'!Z66</f>
        <v>600910</v>
      </c>
    </row>
    <row r="304" spans="1:3">
      <c r="A304" s="29">
        <v>303</v>
      </c>
      <c r="B304">
        <f>'All Points'!Y67</f>
        <v>582823</v>
      </c>
      <c r="C304">
        <f>'All Points'!Z67</f>
        <v>600916</v>
      </c>
    </row>
    <row r="305" spans="1:3">
      <c r="A305" s="29">
        <v>304</v>
      </c>
      <c r="B305">
        <f>'All Points'!Y68</f>
        <v>582810</v>
      </c>
      <c r="C305">
        <f>'All Points'!Z68</f>
        <v>600933</v>
      </c>
    </row>
    <row r="306" spans="1:3">
      <c r="A306" s="29">
        <v>305</v>
      </c>
      <c r="B306">
        <f>'All Points'!Y69</f>
        <v>582845</v>
      </c>
      <c r="C306">
        <f>'All Points'!Z69</f>
        <v>600916</v>
      </c>
    </row>
    <row r="307" spans="1:3">
      <c r="A307" s="29">
        <v>306</v>
      </c>
      <c r="B307">
        <f>'All Points'!Y70</f>
        <v>582836</v>
      </c>
      <c r="C307">
        <f>'All Points'!Z70</f>
        <v>600929</v>
      </c>
    </row>
    <row r="308" spans="1:3">
      <c r="A308" s="29">
        <v>307</v>
      </c>
      <c r="B308">
        <f>'All Points'!Y71</f>
        <v>582796</v>
      </c>
      <c r="C308">
        <f>'All Points'!Z71</f>
        <v>600911</v>
      </c>
    </row>
    <row r="309" spans="1:3">
      <c r="A309" s="29">
        <v>308</v>
      </c>
      <c r="B309">
        <f>'All Points'!Y72</f>
        <v>582839</v>
      </c>
      <c r="C309">
        <f>'All Points'!Z72</f>
        <v>600926</v>
      </c>
    </row>
    <row r="310" spans="1:3">
      <c r="A310" s="29">
        <v>309</v>
      </c>
      <c r="B310">
        <f>'All Points'!Y73</f>
        <v>582801</v>
      </c>
      <c r="C310">
        <f>'All Points'!Z73</f>
        <v>600938</v>
      </c>
    </row>
    <row r="311" spans="1:3">
      <c r="A311" s="29">
        <v>310</v>
      </c>
      <c r="B311">
        <f>'All Points'!Y74</f>
        <v>582826</v>
      </c>
      <c r="C311">
        <f>'All Points'!Z74</f>
        <v>600934</v>
      </c>
    </row>
    <row r="312" spans="1:3">
      <c r="A312" s="29">
        <v>311</v>
      </c>
      <c r="B312">
        <f>'All Points'!Y75</f>
        <v>582831</v>
      </c>
      <c r="C312">
        <f>'All Points'!Z75</f>
        <v>600927</v>
      </c>
    </row>
    <row r="313" spans="1:3">
      <c r="A313" s="29">
        <v>312</v>
      </c>
      <c r="B313">
        <f>'All Points'!Y76</f>
        <v>582842</v>
      </c>
      <c r="C313">
        <f>'All Points'!Z76</f>
        <v>600941</v>
      </c>
    </row>
    <row r="314" spans="1:3">
      <c r="A314" s="29">
        <v>313</v>
      </c>
      <c r="B314">
        <f>'All Points'!Y77</f>
        <v>582836</v>
      </c>
      <c r="C314">
        <f>'All Points'!Z77</f>
        <v>600912</v>
      </c>
    </row>
    <row r="315" spans="1:3">
      <c r="A315" s="29">
        <v>314</v>
      </c>
      <c r="B315">
        <f>'All Points'!Y78</f>
        <v>582830</v>
      </c>
      <c r="C315">
        <f>'All Points'!Z78</f>
        <v>600927</v>
      </c>
    </row>
    <row r="316" spans="1:3">
      <c r="A316" s="29">
        <v>315</v>
      </c>
      <c r="B316">
        <f>'All Points'!Y79</f>
        <v>582819</v>
      </c>
      <c r="C316">
        <f>'All Points'!Z79</f>
        <v>600931</v>
      </c>
    </row>
    <row r="317" spans="1:3">
      <c r="A317" s="29">
        <v>316</v>
      </c>
      <c r="B317">
        <f>'All Points'!Y80</f>
        <v>582833</v>
      </c>
      <c r="C317">
        <f>'All Points'!Z80</f>
        <v>600931</v>
      </c>
    </row>
    <row r="318" spans="1:3">
      <c r="A318" s="29">
        <v>317</v>
      </c>
      <c r="B318">
        <f>'All Points'!Y81</f>
        <v>582835</v>
      </c>
      <c r="C318">
        <f>'All Points'!Z81</f>
        <v>600928</v>
      </c>
    </row>
    <row r="319" spans="1:3">
      <c r="A319" s="29">
        <v>318</v>
      </c>
      <c r="B319">
        <f>'All Points'!Y82</f>
        <v>582822</v>
      </c>
      <c r="C319">
        <f>'All Points'!Z82</f>
        <v>600941</v>
      </c>
    </row>
    <row r="320" spans="1:3">
      <c r="A320" s="29">
        <v>319</v>
      </c>
      <c r="B320">
        <f>'All Points'!Y83</f>
        <v>582827</v>
      </c>
      <c r="C320">
        <f>'All Points'!Z83</f>
        <v>600940</v>
      </c>
    </row>
    <row r="321" spans="1:3">
      <c r="A321" s="29">
        <v>320</v>
      </c>
      <c r="B321">
        <f>'All Points'!Y84</f>
        <v>582826</v>
      </c>
      <c r="C321">
        <f>'All Points'!Z84</f>
        <v>600946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7"/>
  <dimension ref="A2:D14"/>
  <sheetViews>
    <sheetView workbookViewId="0">
      <selection activeCell="C17" sqref="C17"/>
    </sheetView>
  </sheetViews>
  <sheetFormatPr defaultRowHeight="15"/>
  <sheetData>
    <row r="2" spans="1:4">
      <c r="A2" s="30" t="s">
        <v>45</v>
      </c>
      <c r="B2" s="30">
        <f>'Map Template'!U7</f>
        <v>582642.91358000005</v>
      </c>
      <c r="C2" s="30">
        <f>'Map Template'!V7</f>
        <v>600914.80507</v>
      </c>
    </row>
    <row r="3" spans="1:4">
      <c r="A3" s="30">
        <v>1</v>
      </c>
      <c r="B3" s="30">
        <f>'All Points'!D88</f>
        <v>582659</v>
      </c>
      <c r="C3" s="30">
        <f>'All Points'!E88</f>
        <v>600928</v>
      </c>
    </row>
    <row r="4" spans="1:4">
      <c r="A4" s="30" t="s">
        <v>46</v>
      </c>
      <c r="B4" s="30">
        <f>'Map Template'!U8</f>
        <v>582845.05923999997</v>
      </c>
      <c r="C4" s="30">
        <f>'Map Template'!V8</f>
        <v>600904.26309000002</v>
      </c>
    </row>
    <row r="5" spans="1:4">
      <c r="B5" t="s">
        <v>43</v>
      </c>
    </row>
    <row r="6" spans="1:4">
      <c r="B6" t="s">
        <v>47</v>
      </c>
      <c r="D6" t="s">
        <v>48</v>
      </c>
    </row>
    <row r="7" spans="1:4">
      <c r="B7" s="32">
        <v>1</v>
      </c>
      <c r="C7">
        <v>1</v>
      </c>
      <c r="D7" s="32">
        <v>3</v>
      </c>
    </row>
    <row r="8" spans="1:4">
      <c r="B8">
        <f>SQRT((($B2-$B$3)^2)+(($C2-$C$3)^2))</f>
        <v>20.805746468694476</v>
      </c>
      <c r="C8">
        <f>SQRT((($B3-$B$4)^2)+(($C3-$C$4)^2))</f>
        <v>187.56727242702732</v>
      </c>
    </row>
    <row r="9" spans="1:4">
      <c r="A9" t="s">
        <v>25</v>
      </c>
      <c r="B9">
        <f>B2</f>
        <v>582642.91358000005</v>
      </c>
      <c r="C9">
        <f>B3</f>
        <v>582659</v>
      </c>
      <c r="D9">
        <f>B4</f>
        <v>582845.05923999997</v>
      </c>
    </row>
    <row r="10" spans="1:4">
      <c r="A10" t="s">
        <v>26</v>
      </c>
      <c r="B10">
        <f>C2</f>
        <v>600914.80507</v>
      </c>
      <c r="C10">
        <f>C3</f>
        <v>600928</v>
      </c>
      <c r="D10">
        <f>C4</f>
        <v>600904.26309000002</v>
      </c>
    </row>
    <row r="12" spans="1:4">
      <c r="A12" t="s">
        <v>44</v>
      </c>
      <c r="C12" s="31">
        <f>SUM(B8:C8)</f>
        <v>208.3730188957218</v>
      </c>
      <c r="D12" t="s">
        <v>50</v>
      </c>
    </row>
    <row r="13" spans="1:4">
      <c r="B13" t="s">
        <v>23</v>
      </c>
      <c r="C13" t="s">
        <v>24</v>
      </c>
      <c r="D13" t="s">
        <v>194</v>
      </c>
    </row>
    <row r="14" spans="1:4">
      <c r="B14">
        <f>B3</f>
        <v>582659</v>
      </c>
      <c r="C14" s="117">
        <f>C3</f>
        <v>600928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I23"/>
  <sheetViews>
    <sheetView workbookViewId="0">
      <selection activeCell="C13" sqref="C13:D14"/>
    </sheetView>
  </sheetViews>
  <sheetFormatPr defaultColWidth="8.85546875" defaultRowHeight="15"/>
  <cols>
    <col min="1" max="16384" width="8.85546875" style="117"/>
  </cols>
  <sheetData>
    <row r="1" spans="1:9">
      <c r="C1" s="117" t="s">
        <v>47</v>
      </c>
      <c r="D1" s="117">
        <v>1</v>
      </c>
      <c r="E1" s="117">
        <v>3</v>
      </c>
      <c r="F1" s="117" t="s">
        <v>48</v>
      </c>
    </row>
    <row r="2" spans="1:9">
      <c r="C2" s="117">
        <v>0</v>
      </c>
      <c r="D2" s="117">
        <v>1</v>
      </c>
      <c r="E2" s="117">
        <v>2</v>
      </c>
      <c r="F2" s="117">
        <v>3</v>
      </c>
    </row>
    <row r="3" spans="1:9" ht="16.350000000000001" customHeight="1" thickBot="1">
      <c r="A3" s="117" t="s">
        <v>47</v>
      </c>
      <c r="B3" s="117">
        <v>0</v>
      </c>
      <c r="C3" s="117">
        <f t="shared" ref="C3:C5" si="0">SQRT((($C12-$C$12)^2)+(($D12-$D$12)^2))</f>
        <v>0</v>
      </c>
      <c r="D3" s="117">
        <f t="shared" ref="D3:D5" si="1">SQRT((($C12-$C$13)^2)+(($D12-$D$13)^2))</f>
        <v>10.997280851207766</v>
      </c>
      <c r="E3" s="117">
        <f t="shared" ref="E3:E5" si="2">SQRT((($C12-$C$14)^2)+(($D12-$D$14)^2))</f>
        <v>124.09954837189609</v>
      </c>
      <c r="F3" s="117">
        <f>SQRT((($C12-$C$15)^2)+(($D12-$D$15)^2))</f>
        <v>202.42035766968698</v>
      </c>
    </row>
    <row r="4" spans="1:9">
      <c r="A4" s="117">
        <v>1</v>
      </c>
      <c r="B4" s="117">
        <v>1</v>
      </c>
      <c r="C4" s="117">
        <f t="shared" si="0"/>
        <v>10.997280851207766</v>
      </c>
      <c r="D4" s="34">
        <f t="shared" si="1"/>
        <v>0</v>
      </c>
      <c r="E4" s="35">
        <f t="shared" si="2"/>
        <v>115.27792503337315</v>
      </c>
      <c r="F4" s="117">
        <f>SQRT((($C13-$C$15)^2)+(($D13-$D$15)^2))</f>
        <v>193.7833695282302</v>
      </c>
    </row>
    <row r="5" spans="1:9">
      <c r="A5" s="117">
        <v>2</v>
      </c>
      <c r="B5" s="117">
        <v>2</v>
      </c>
      <c r="C5" s="117">
        <f t="shared" si="0"/>
        <v>124.09954837189609</v>
      </c>
      <c r="D5" s="37">
        <f t="shared" si="1"/>
        <v>115.27792503337315</v>
      </c>
      <c r="E5" s="13">
        <f t="shared" si="2"/>
        <v>0</v>
      </c>
      <c r="F5" s="117">
        <f>SQRT((($C14-$C$15)^2)+(($D14-$D$15)^2))</f>
        <v>78.546664765100815</v>
      </c>
    </row>
    <row r="6" spans="1:9">
      <c r="A6" s="117" t="s">
        <v>48</v>
      </c>
      <c r="B6" s="117">
        <v>5</v>
      </c>
      <c r="C6" s="117">
        <f>SQRT((($C15-$C$12)^2)+(($D15-$D$12)^2))</f>
        <v>202.42035766968698</v>
      </c>
      <c r="D6" s="117">
        <f>SQRT((($C15-$C$13)^2)+(($D15-$D$13)^2))</f>
        <v>193.7833695282302</v>
      </c>
      <c r="E6" s="117">
        <f>SQRT((($C15-$C$14)^2)+(($D15-$D$14)^2))</f>
        <v>78.546664765100815</v>
      </c>
      <c r="F6" s="117">
        <f>SQRT((($C15-$C$15)^2)+(($D15-$D$15)^2))</f>
        <v>0</v>
      </c>
    </row>
    <row r="12" spans="1:9">
      <c r="B12" s="30" t="s">
        <v>45</v>
      </c>
      <c r="C12" s="30">
        <f>'Map Template'!U7</f>
        <v>582642.91358000005</v>
      </c>
      <c r="D12" s="30">
        <f>'Map Template'!V7</f>
        <v>600914.80507</v>
      </c>
    </row>
    <row r="13" spans="1:9">
      <c r="B13" s="117">
        <v>1</v>
      </c>
      <c r="C13" s="117">
        <f>'All Points'!D90</f>
        <v>582652</v>
      </c>
      <c r="D13" s="117">
        <f>'All Points'!E90</f>
        <v>600921</v>
      </c>
    </row>
    <row r="14" spans="1:9">
      <c r="B14" s="117">
        <v>2</v>
      </c>
      <c r="C14" s="117">
        <f>'All Points'!D91</f>
        <v>582767</v>
      </c>
      <c r="D14" s="117">
        <f>'All Points'!E91</f>
        <v>600913</v>
      </c>
    </row>
    <row r="15" spans="1:9">
      <c r="B15" s="30" t="s">
        <v>46</v>
      </c>
      <c r="C15" s="30">
        <f>'Map Template'!U8</f>
        <v>582845.05923999997</v>
      </c>
      <c r="D15" s="30">
        <f>'Map Template'!V8</f>
        <v>600904.26309000002</v>
      </c>
    </row>
    <row r="16" spans="1:9">
      <c r="C16" s="117" t="s">
        <v>43</v>
      </c>
      <c r="H16" s="117">
        <f>C13</f>
        <v>582652</v>
      </c>
      <c r="I16" s="117">
        <f>D13</f>
        <v>600921</v>
      </c>
    </row>
    <row r="17" spans="2:9">
      <c r="C17" s="117" t="s">
        <v>47</v>
      </c>
      <c r="F17" s="117" t="s">
        <v>48</v>
      </c>
      <c r="H17" s="117">
        <f>C14</f>
        <v>582767</v>
      </c>
      <c r="I17" s="117">
        <f>D14</f>
        <v>600913</v>
      </c>
    </row>
    <row r="18" spans="2:9">
      <c r="C18" s="32">
        <v>1</v>
      </c>
      <c r="D18" s="117">
        <v>1</v>
      </c>
      <c r="E18" s="117">
        <v>2</v>
      </c>
      <c r="F18" s="32">
        <v>3</v>
      </c>
    </row>
    <row r="19" spans="2:9">
      <c r="C19" s="117">
        <f>SQRT((($D20-$C$12)^2)+(($D21-$D$12)^2))</f>
        <v>10.997280851207766</v>
      </c>
      <c r="D19" s="117">
        <f>INDEX($D$4:$E$5,D18,E18)</f>
        <v>115.27792503337315</v>
      </c>
      <c r="E19" s="117">
        <f>INDEX($D$4:$F$6,E18,F18)</f>
        <v>78.546664765100815</v>
      </c>
    </row>
    <row r="20" spans="2:9">
      <c r="B20" s="117" t="s">
        <v>25</v>
      </c>
      <c r="C20" s="117">
        <f>C12</f>
        <v>582642.91358000005</v>
      </c>
      <c r="D20" s="117">
        <f>VLOOKUP(D18,$B$13:$C$14,2,FALSE)</f>
        <v>582652</v>
      </c>
      <c r="E20" s="117">
        <f>VLOOKUP(E18,$B$13:$C$14,2,FALSE)</f>
        <v>582767</v>
      </c>
      <c r="F20" s="117">
        <f>C15</f>
        <v>582845.05923999997</v>
      </c>
    </row>
    <row r="21" spans="2:9">
      <c r="B21" s="117" t="s">
        <v>26</v>
      </c>
      <c r="C21" s="117">
        <f>D12</f>
        <v>600914.80507</v>
      </c>
      <c r="D21" s="117">
        <f>VLOOKUP(D18,$B$13:$D$14,3,FALSE)</f>
        <v>600921</v>
      </c>
      <c r="E21" s="117">
        <f>VLOOKUP(E18,$B$13:$D$14,3,FALSE)</f>
        <v>600913</v>
      </c>
      <c r="F21" s="117">
        <f>D15</f>
        <v>600904.26309000002</v>
      </c>
    </row>
    <row r="23" spans="2:9">
      <c r="C23" s="117" t="s">
        <v>44</v>
      </c>
      <c r="E23" s="117">
        <f>SUM(C19:E19)</f>
        <v>204.82187064968173</v>
      </c>
    </row>
  </sheetData>
  <sortState xmlns:xlrd2="http://schemas.microsoft.com/office/spreadsheetml/2017/richdata2" ref="C14:D14">
    <sortCondition ref="C13:C1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561" r:id="rId3" name="Button 1">
              <controlPr defaultSize="0" print="0" autoFill="0" autoPict="0" macro="[0]!OPTIMISE_8">
                <anchor moveWithCells="1">
                  <from>
                    <xdr:col>2</xdr:col>
                    <xdr:colOff>361950</xdr:colOff>
                    <xdr:row>26</xdr:row>
                    <xdr:rowOff>142875</xdr:rowOff>
                  </from>
                  <to>
                    <xdr:col>4</xdr:col>
                    <xdr:colOff>171450</xdr:colOff>
                    <xdr:row>29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L27"/>
  <sheetViews>
    <sheetView topLeftCell="A4" workbookViewId="0">
      <selection activeCell="D22" sqref="D22:G22"/>
    </sheetView>
  </sheetViews>
  <sheetFormatPr defaultRowHeight="15"/>
  <sheetData>
    <row r="1" spans="1:8">
      <c r="C1" t="s">
        <v>47</v>
      </c>
      <c r="D1">
        <v>1</v>
      </c>
      <c r="E1">
        <v>3</v>
      </c>
      <c r="F1">
        <v>5</v>
      </c>
      <c r="G1">
        <v>7</v>
      </c>
      <c r="H1" t="s">
        <v>48</v>
      </c>
    </row>
    <row r="2" spans="1:8">
      <c r="C2">
        <v>0</v>
      </c>
      <c r="D2">
        <v>1</v>
      </c>
      <c r="E2">
        <v>2</v>
      </c>
      <c r="F2">
        <v>3</v>
      </c>
      <c r="G2">
        <v>4</v>
      </c>
      <c r="H2">
        <v>5</v>
      </c>
    </row>
    <row r="3" spans="1:8" ht="16.350000000000001" customHeight="1" thickBot="1">
      <c r="A3" t="s">
        <v>47</v>
      </c>
      <c r="B3">
        <v>0</v>
      </c>
      <c r="C3">
        <f t="shared" ref="C3:C8" si="0">SQRT((($C14-$C$14)^2)+(($D14-$D$14)^2))</f>
        <v>0</v>
      </c>
      <c r="D3">
        <f t="shared" ref="D3:D8" si="1">SQRT((($C14-$C$15)^2)+(($D14-$D$15)^2))</f>
        <v>60.337672196701448</v>
      </c>
      <c r="E3">
        <f t="shared" ref="E3:E8" si="2">SQRT((($C14-$C$16)^2)+(($D14-$D$16)^2))</f>
        <v>70.423101082773954</v>
      </c>
      <c r="F3">
        <f t="shared" ref="F3:F8" si="3">SQRT((($C14-$C$17)^2)+(($D14-$D$17)^2))</f>
        <v>144.64767072478745</v>
      </c>
      <c r="G3">
        <f t="shared" ref="G3:G8" si="4">SQRT((($C14-$C$18)^2)+(($D14-$D$18)^2))</f>
        <v>181.08820957230409</v>
      </c>
      <c r="H3">
        <f t="shared" ref="H3:H8" si="5">SQRT((($C14-$C$19)^2)+(($D14-$D$19)^2))</f>
        <v>202.42035766968698</v>
      </c>
    </row>
    <row r="4" spans="1:8">
      <c r="A4">
        <v>1</v>
      </c>
      <c r="B4">
        <v>1</v>
      </c>
      <c r="C4">
        <f t="shared" si="0"/>
        <v>60.337672196701448</v>
      </c>
      <c r="D4" s="34">
        <f t="shared" si="1"/>
        <v>0</v>
      </c>
      <c r="E4" s="35">
        <f t="shared" si="2"/>
        <v>23.323807579381203</v>
      </c>
      <c r="F4" s="35">
        <f t="shared" si="3"/>
        <v>101</v>
      </c>
      <c r="G4" s="35">
        <f t="shared" si="4"/>
        <v>143.29340529138108</v>
      </c>
      <c r="H4">
        <f t="shared" si="5"/>
        <v>166.31124798315636</v>
      </c>
    </row>
    <row r="5" spans="1:8">
      <c r="A5">
        <v>2</v>
      </c>
      <c r="B5">
        <v>2</v>
      </c>
      <c r="C5">
        <f t="shared" si="0"/>
        <v>70.423101082773954</v>
      </c>
      <c r="D5" s="37">
        <f t="shared" si="1"/>
        <v>23.323807579381203</v>
      </c>
      <c r="E5" s="13">
        <f t="shared" si="2"/>
        <v>0</v>
      </c>
      <c r="F5" s="13">
        <f t="shared" si="3"/>
        <v>79.404030124421269</v>
      </c>
      <c r="G5" s="13">
        <f t="shared" si="4"/>
        <v>120.78493283518438</v>
      </c>
      <c r="H5">
        <f t="shared" si="5"/>
        <v>143.66410743716239</v>
      </c>
    </row>
    <row r="6" spans="1:8">
      <c r="A6">
        <v>3</v>
      </c>
      <c r="B6">
        <v>3</v>
      </c>
      <c r="C6">
        <f t="shared" si="0"/>
        <v>144.64767072478745</v>
      </c>
      <c r="D6" s="37">
        <f t="shared" si="1"/>
        <v>101</v>
      </c>
      <c r="E6" s="13">
        <f t="shared" si="2"/>
        <v>79.404030124421269</v>
      </c>
      <c r="F6" s="13">
        <f t="shared" si="3"/>
        <v>0</v>
      </c>
      <c r="G6" s="13">
        <f t="shared" si="4"/>
        <v>43.908996800200299</v>
      </c>
      <c r="H6">
        <f t="shared" si="5"/>
        <v>67.046441260674882</v>
      </c>
    </row>
    <row r="7" spans="1:8">
      <c r="A7">
        <v>4</v>
      </c>
      <c r="B7">
        <v>4</v>
      </c>
      <c r="C7">
        <f t="shared" si="0"/>
        <v>181.08820957230409</v>
      </c>
      <c r="D7" s="37">
        <f t="shared" si="1"/>
        <v>143.29340529138108</v>
      </c>
      <c r="E7" s="13">
        <f t="shared" si="2"/>
        <v>120.78493283518438</v>
      </c>
      <c r="F7" s="13">
        <f t="shared" si="3"/>
        <v>43.908996800200299</v>
      </c>
      <c r="G7" s="13">
        <f t="shared" si="4"/>
        <v>0</v>
      </c>
      <c r="H7">
        <f t="shared" si="5"/>
        <v>23.201271640238588</v>
      </c>
    </row>
    <row r="8" spans="1:8">
      <c r="A8" t="s">
        <v>48</v>
      </c>
      <c r="B8">
        <v>5</v>
      </c>
      <c r="C8">
        <f t="shared" si="0"/>
        <v>202.42035766968698</v>
      </c>
      <c r="D8">
        <f t="shared" si="1"/>
        <v>166.31124798315636</v>
      </c>
      <c r="E8">
        <f t="shared" si="2"/>
        <v>143.66410743716239</v>
      </c>
      <c r="F8">
        <f t="shared" si="3"/>
        <v>67.046441260674882</v>
      </c>
      <c r="G8">
        <f t="shared" si="4"/>
        <v>23.201271640238588</v>
      </c>
      <c r="H8">
        <f t="shared" si="5"/>
        <v>0</v>
      </c>
    </row>
    <row r="14" spans="1:8">
      <c r="B14" s="30" t="s">
        <v>45</v>
      </c>
      <c r="C14" s="30">
        <f>'Map Template'!U7</f>
        <v>582642.91358000005</v>
      </c>
      <c r="D14" s="30">
        <f>'Map Template'!V7</f>
        <v>600914.80507</v>
      </c>
    </row>
    <row r="15" spans="1:8">
      <c r="B15">
        <v>1</v>
      </c>
      <c r="C15">
        <f>Rand!AB2</f>
        <v>582687</v>
      </c>
      <c r="D15">
        <f>Rand!AC2</f>
        <v>600956</v>
      </c>
    </row>
    <row r="16" spans="1:8">
      <c r="B16">
        <v>2</v>
      </c>
      <c r="C16">
        <f>Rand!AB3</f>
        <v>582707</v>
      </c>
      <c r="D16">
        <f>Rand!AC3</f>
        <v>600944</v>
      </c>
    </row>
    <row r="17" spans="2:12">
      <c r="B17">
        <v>3</v>
      </c>
      <c r="C17">
        <f>Rand!AB4</f>
        <v>582786</v>
      </c>
      <c r="D17">
        <f>Rand!AC4</f>
        <v>600936</v>
      </c>
    </row>
    <row r="18" spans="2:12">
      <c r="B18">
        <v>4</v>
      </c>
      <c r="C18">
        <f>Rand!AB5</f>
        <v>582824</v>
      </c>
      <c r="D18">
        <f>Rand!AC5</f>
        <v>600914</v>
      </c>
    </row>
    <row r="19" spans="2:12">
      <c r="B19" s="30" t="s">
        <v>46</v>
      </c>
      <c r="C19" s="30">
        <f>'Map Template'!U8</f>
        <v>582845.05923999997</v>
      </c>
      <c r="D19" s="30">
        <f>'Map Template'!V8</f>
        <v>600904.26309000002</v>
      </c>
    </row>
    <row r="20" spans="2:12">
      <c r="C20" t="s">
        <v>43</v>
      </c>
    </row>
    <row r="21" spans="2:12">
      <c r="C21" t="s">
        <v>47</v>
      </c>
      <c r="H21" t="s">
        <v>48</v>
      </c>
    </row>
    <row r="22" spans="2:12">
      <c r="C22" s="32">
        <v>1</v>
      </c>
      <c r="D22">
        <v>1</v>
      </c>
      <c r="E22">
        <v>2</v>
      </c>
      <c r="F22">
        <v>3</v>
      </c>
      <c r="G22" s="117">
        <v>4</v>
      </c>
      <c r="H22" s="32">
        <v>5</v>
      </c>
      <c r="K22" s="117" t="s">
        <v>193</v>
      </c>
      <c r="L22" s="117"/>
    </row>
    <row r="23" spans="2:12">
      <c r="C23">
        <f>SQRT((($D24-$C$14)^2)+(($D25-$D$14)^2))</f>
        <v>60.337672196701448</v>
      </c>
      <c r="D23">
        <f>INDEX($D$4:$G$7,D22,E22)</f>
        <v>23.323807579381203</v>
      </c>
      <c r="E23">
        <f>INDEX($D$4:$G$7,E22,F22)</f>
        <v>79.404030124421269</v>
      </c>
      <c r="F23">
        <f>INDEX($D$4:$G$7,F22,G22)</f>
        <v>43.908996800200299</v>
      </c>
      <c r="G23">
        <f>INDEX($D$4:$H$8,G22,H22)</f>
        <v>23.201271640238588</v>
      </c>
      <c r="K23" s="117" t="s">
        <v>23</v>
      </c>
      <c r="L23" s="117" t="s">
        <v>24</v>
      </c>
    </row>
    <row r="24" spans="2:12">
      <c r="B24" t="s">
        <v>25</v>
      </c>
      <c r="C24">
        <f>C14</f>
        <v>582642.91358000005</v>
      </c>
      <c r="D24">
        <f>VLOOKUP(D22,$B$15:$C$18,2,FALSE)</f>
        <v>582687</v>
      </c>
      <c r="E24">
        <f>VLOOKUP(E22,$B$15:$C$18,2,FALSE)</f>
        <v>582707</v>
      </c>
      <c r="F24">
        <f>VLOOKUP(F22,$B$15:$C$18,2,FALSE)</f>
        <v>582786</v>
      </c>
      <c r="G24">
        <f>VLOOKUP(G22,$B$15:$C$18,2,FALSE)</f>
        <v>582824</v>
      </c>
      <c r="H24">
        <f>C19</f>
        <v>582845.05923999997</v>
      </c>
      <c r="J24">
        <v>1</v>
      </c>
      <c r="K24">
        <f>D24</f>
        <v>582687</v>
      </c>
      <c r="L24">
        <f>D25</f>
        <v>600956</v>
      </c>
    </row>
    <row r="25" spans="2:12">
      <c r="B25" t="s">
        <v>26</v>
      </c>
      <c r="C25">
        <f>D14</f>
        <v>600914.80507</v>
      </c>
      <c r="D25">
        <f>VLOOKUP(D22,$B$15:$D$18,3,FALSE)</f>
        <v>600956</v>
      </c>
      <c r="E25">
        <f>VLOOKUP(E22,$B$15:$D$18,3,FALSE)</f>
        <v>600944</v>
      </c>
      <c r="F25">
        <f>VLOOKUP(F22,$B$15:$D$18,3,FALSE)</f>
        <v>600936</v>
      </c>
      <c r="G25">
        <f>VLOOKUP(G22,$B$15:$D$18,3,FALSE)</f>
        <v>600914</v>
      </c>
      <c r="H25">
        <f>D19</f>
        <v>600904.26309000002</v>
      </c>
      <c r="J25">
        <v>2</v>
      </c>
      <c r="K25">
        <f>E24</f>
        <v>582707</v>
      </c>
      <c r="L25">
        <f>E25</f>
        <v>600944</v>
      </c>
    </row>
    <row r="26" spans="2:12">
      <c r="J26">
        <v>3</v>
      </c>
      <c r="K26">
        <f>F24</f>
        <v>582786</v>
      </c>
      <c r="L26">
        <f>F25</f>
        <v>600936</v>
      </c>
    </row>
    <row r="27" spans="2:12">
      <c r="C27" t="s">
        <v>44</v>
      </c>
      <c r="E27">
        <f>SUM(C23:G23)</f>
        <v>230.1757783409428</v>
      </c>
      <c r="J27">
        <v>4</v>
      </c>
      <c r="K27">
        <f>G24</f>
        <v>582824</v>
      </c>
      <c r="L27">
        <f>G25</f>
        <v>600914</v>
      </c>
    </row>
  </sheetData>
  <sortState xmlns:xlrd2="http://schemas.microsoft.com/office/spreadsheetml/2017/richdata2" ref="C16:D18">
    <sortCondition ref="C15:C18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Button 1">
              <controlPr defaultSize="0" print="0" autoFill="0" autoPict="0" macro="[0]!OPTIMISE_8">
                <anchor moveWithCells="1">
                  <from>
                    <xdr:col>2</xdr:col>
                    <xdr:colOff>361950</xdr:colOff>
                    <xdr:row>30</xdr:row>
                    <xdr:rowOff>142875</xdr:rowOff>
                  </from>
                  <to>
                    <xdr:col>4</xdr:col>
                    <xdr:colOff>171450</xdr:colOff>
                    <xdr:row>33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5"/>
  <dimension ref="A1:P39"/>
  <sheetViews>
    <sheetView topLeftCell="A16" workbookViewId="0">
      <selection activeCell="D30" sqref="D30:K30"/>
    </sheetView>
  </sheetViews>
  <sheetFormatPr defaultRowHeight="15"/>
  <sheetData>
    <row r="1" spans="1:12">
      <c r="C1" t="s">
        <v>47</v>
      </c>
      <c r="D1">
        <v>1</v>
      </c>
      <c r="E1">
        <v>2</v>
      </c>
      <c r="F1">
        <v>3</v>
      </c>
      <c r="G1">
        <v>4</v>
      </c>
      <c r="H1">
        <v>5</v>
      </c>
      <c r="I1">
        <v>6</v>
      </c>
      <c r="J1">
        <v>7</v>
      </c>
      <c r="K1">
        <v>8</v>
      </c>
      <c r="L1" t="s">
        <v>48</v>
      </c>
    </row>
    <row r="2" spans="1:12">
      <c r="C2">
        <v>0</v>
      </c>
      <c r="D2">
        <v>1</v>
      </c>
      <c r="E2">
        <v>2</v>
      </c>
      <c r="F2">
        <v>3</v>
      </c>
      <c r="G2">
        <v>4</v>
      </c>
      <c r="H2">
        <v>5</v>
      </c>
      <c r="I2">
        <v>6</v>
      </c>
      <c r="J2">
        <v>7</v>
      </c>
      <c r="K2">
        <v>8</v>
      </c>
      <c r="L2">
        <v>1000</v>
      </c>
    </row>
    <row r="3" spans="1:12" ht="16.350000000000001" customHeight="1" thickBot="1">
      <c r="A3" t="s">
        <v>47</v>
      </c>
      <c r="B3">
        <v>0</v>
      </c>
      <c r="C3">
        <f t="shared" ref="C3:C12" si="0">SQRT((($C18-$C$18)^2)+(($D18-$D$18)^2))</f>
        <v>0</v>
      </c>
      <c r="D3">
        <f>SQRT((($C18-$C$19)^2)+(($D18-$D$19)^2))</f>
        <v>40.313253231670721</v>
      </c>
      <c r="E3">
        <f>SQRT((($C18-$C$20)^2)+(($D18-$D$20)^2))</f>
        <v>60.337672196701448</v>
      </c>
      <c r="F3">
        <f>SQRT((($C18-$C$21)^2)+(($D18-$D$21)^2))</f>
        <v>70.423101082773954</v>
      </c>
      <c r="G3">
        <f>SQRT((($C18-$C$22)^2)+(($D18-$D$22)^2))</f>
        <v>88.113762296886705</v>
      </c>
      <c r="H3">
        <f>SQRT((($C18-$C$23)^2)+(($D18-$D$23)^2))</f>
        <v>144.64767072478745</v>
      </c>
      <c r="I3">
        <f>SQRT((($C18-$C$24)^2)+(($D18-$D$24)^2))</f>
        <v>123.09222008765894</v>
      </c>
      <c r="J3">
        <f>SQRT((($C18-$C$25)^2)+(($D18-$D$25)^2))</f>
        <v>181.08820957230409</v>
      </c>
      <c r="K3">
        <f>SQRT((($C18-$C$26)^2)+(($D18-$D$26)^2))</f>
        <v>171.94235884767821</v>
      </c>
      <c r="L3">
        <f>SQRT((($C18-$C$27)^2)+(($D18-$D$27)^2))</f>
        <v>202.42035766968698</v>
      </c>
    </row>
    <row r="4" spans="1:12">
      <c r="A4">
        <v>1</v>
      </c>
      <c r="B4">
        <v>1</v>
      </c>
      <c r="C4">
        <f t="shared" si="0"/>
        <v>40.313253231670721</v>
      </c>
      <c r="D4" s="34">
        <f t="shared" ref="D4:D12" si="1">SQRT((($C19-$C$19)^2)+(($D19-$D$19)^2))</f>
        <v>0</v>
      </c>
      <c r="E4" s="35">
        <f t="shared" ref="E4:E12" si="2">SQRT((($C19-$C$20)^2)+(($D19-$D$20)^2))</f>
        <v>41.012193308819754</v>
      </c>
      <c r="F4" s="35">
        <f t="shared" ref="F4:F12" si="3">SQRT((($C19-$C$21)^2)+(($D19-$D$21)^2))</f>
        <v>61.98386886924694</v>
      </c>
      <c r="G4" s="35">
        <f t="shared" ref="G4:G12" si="4">SQRT((($C19-$C$22)^2)+(($D19-$D$22)^2))</f>
        <v>93.107464792034804</v>
      </c>
      <c r="H4" s="35">
        <f t="shared" ref="H4:H12" si="5">SQRT((($C19-$C$23)^2)+(($D19-$D$23)^2))</f>
        <v>141.2834031300209</v>
      </c>
      <c r="I4" s="35">
        <f t="shared" ref="I4:I12" si="6">SQRT((($C19-$C$24)^2)+(($D19-$D$24)^2))</f>
        <v>126.17844506887855</v>
      </c>
      <c r="J4" s="35">
        <f t="shared" ref="J4:J12" si="7">SQRT((($C19-$C$25)^2)+(($D19-$D$25)^2))</f>
        <v>182.6608879864543</v>
      </c>
      <c r="K4" s="36">
        <f t="shared" ref="K4:K12" si="8">SQRT((($C19-$C$26)^2)+(($D19-$D$26)^2))</f>
        <v>167.67229944149989</v>
      </c>
      <c r="L4">
        <f t="shared" ref="L4:L12" si="9">SQRT((($C19-$C$27)^2)+(($D19-$D$27)^2))</f>
        <v>205.42350173656564</v>
      </c>
    </row>
    <row r="5" spans="1:12">
      <c r="A5">
        <v>2</v>
      </c>
      <c r="B5">
        <v>2</v>
      </c>
      <c r="C5">
        <f t="shared" si="0"/>
        <v>60.337672196701448</v>
      </c>
      <c r="D5" s="37">
        <f t="shared" si="1"/>
        <v>41.012193308819754</v>
      </c>
      <c r="E5" s="13">
        <f t="shared" si="2"/>
        <v>0</v>
      </c>
      <c r="F5" s="13">
        <f t="shared" si="3"/>
        <v>23.323807579381203</v>
      </c>
      <c r="G5" s="13">
        <f t="shared" si="4"/>
        <v>58.796258384356399</v>
      </c>
      <c r="H5" s="13">
        <f t="shared" si="5"/>
        <v>101</v>
      </c>
      <c r="I5" s="13">
        <f t="shared" si="6"/>
        <v>88.549421229051518</v>
      </c>
      <c r="J5" s="13">
        <f t="shared" si="7"/>
        <v>143.29340529138108</v>
      </c>
      <c r="K5" s="38">
        <f t="shared" si="8"/>
        <v>127.01181047445942</v>
      </c>
      <c r="L5">
        <f t="shared" si="9"/>
        <v>166.31124798315636</v>
      </c>
    </row>
    <row r="6" spans="1:12">
      <c r="A6">
        <v>3</v>
      </c>
      <c r="B6">
        <v>3</v>
      </c>
      <c r="C6">
        <f t="shared" si="0"/>
        <v>70.423101082773954</v>
      </c>
      <c r="D6" s="37">
        <f t="shared" si="1"/>
        <v>61.98386886924694</v>
      </c>
      <c r="E6" s="13">
        <f t="shared" si="2"/>
        <v>23.323807579381203</v>
      </c>
      <c r="F6" s="13">
        <f t="shared" si="3"/>
        <v>0</v>
      </c>
      <c r="G6" s="13">
        <f t="shared" si="4"/>
        <v>36.124783736376884</v>
      </c>
      <c r="H6" s="13">
        <f t="shared" si="5"/>
        <v>79.404030124421269</v>
      </c>
      <c r="I6" s="13">
        <f t="shared" si="6"/>
        <v>65.30696746902278</v>
      </c>
      <c r="J6" s="13">
        <f t="shared" si="7"/>
        <v>120.78493283518438</v>
      </c>
      <c r="K6" s="38">
        <f t="shared" si="8"/>
        <v>106.07544484940895</v>
      </c>
      <c r="L6">
        <f t="shared" si="9"/>
        <v>143.66410743716239</v>
      </c>
    </row>
    <row r="7" spans="1:12">
      <c r="A7">
        <v>4</v>
      </c>
      <c r="B7">
        <v>4</v>
      </c>
      <c r="C7">
        <f t="shared" si="0"/>
        <v>88.113762296886705</v>
      </c>
      <c r="D7" s="37">
        <f t="shared" si="1"/>
        <v>93.107464792034804</v>
      </c>
      <c r="E7" s="13">
        <f t="shared" si="2"/>
        <v>58.796258384356399</v>
      </c>
      <c r="F7" s="13">
        <f t="shared" si="3"/>
        <v>36.124783736376884</v>
      </c>
      <c r="G7" s="13">
        <f t="shared" si="4"/>
        <v>0</v>
      </c>
      <c r="H7" s="13">
        <f t="shared" si="5"/>
        <v>58.189346103904619</v>
      </c>
      <c r="I7" s="13">
        <f t="shared" si="6"/>
        <v>35.014282800023196</v>
      </c>
      <c r="J7" s="13">
        <f t="shared" si="7"/>
        <v>93.048374515624943</v>
      </c>
      <c r="K7" s="38">
        <f t="shared" si="8"/>
        <v>85.164546614186818</v>
      </c>
      <c r="L7">
        <f t="shared" si="9"/>
        <v>114.76819727485061</v>
      </c>
    </row>
    <row r="8" spans="1:12">
      <c r="A8">
        <v>5</v>
      </c>
      <c r="B8">
        <v>5</v>
      </c>
      <c r="C8">
        <f t="shared" si="0"/>
        <v>144.64767072478745</v>
      </c>
      <c r="D8" s="37">
        <f t="shared" si="1"/>
        <v>141.2834031300209</v>
      </c>
      <c r="E8" s="13">
        <f t="shared" si="2"/>
        <v>101</v>
      </c>
      <c r="F8" s="13">
        <f t="shared" si="3"/>
        <v>79.404030124421269</v>
      </c>
      <c r="G8" s="13">
        <f t="shared" si="4"/>
        <v>58.189346103904619</v>
      </c>
      <c r="H8" s="13">
        <f t="shared" si="5"/>
        <v>0</v>
      </c>
      <c r="I8" s="13">
        <f t="shared" si="6"/>
        <v>28.284271247461902</v>
      </c>
      <c r="J8" s="13">
        <f t="shared" si="7"/>
        <v>43.908996800200299</v>
      </c>
      <c r="K8" s="38">
        <f t="shared" si="8"/>
        <v>27.294688127912362</v>
      </c>
      <c r="L8">
        <f t="shared" si="9"/>
        <v>67.046441260674882</v>
      </c>
    </row>
    <row r="9" spans="1:12">
      <c r="A9">
        <v>6</v>
      </c>
      <c r="B9">
        <v>6</v>
      </c>
      <c r="C9">
        <f t="shared" si="0"/>
        <v>123.09222008765894</v>
      </c>
      <c r="D9" s="37">
        <f t="shared" si="1"/>
        <v>126.17844506887855</v>
      </c>
      <c r="E9" s="13">
        <f t="shared" si="2"/>
        <v>88.549421229051518</v>
      </c>
      <c r="F9" s="13">
        <f t="shared" si="3"/>
        <v>65.30696746902278</v>
      </c>
      <c r="G9" s="13">
        <f t="shared" si="4"/>
        <v>35.014282800023196</v>
      </c>
      <c r="H9" s="13">
        <f t="shared" si="5"/>
        <v>28.284271247461902</v>
      </c>
      <c r="I9" s="13">
        <f t="shared" si="6"/>
        <v>0</v>
      </c>
      <c r="J9" s="13">
        <f t="shared" si="7"/>
        <v>58.034472514187634</v>
      </c>
      <c r="K9" s="38">
        <f t="shared" si="8"/>
        <v>52.773099207835045</v>
      </c>
      <c r="L9">
        <f t="shared" si="9"/>
        <v>79.925706038301243</v>
      </c>
    </row>
    <row r="10" spans="1:12">
      <c r="A10">
        <v>7</v>
      </c>
      <c r="B10">
        <v>7</v>
      </c>
      <c r="C10">
        <f t="shared" si="0"/>
        <v>181.08820957230409</v>
      </c>
      <c r="D10" s="37">
        <f t="shared" si="1"/>
        <v>182.6608879864543</v>
      </c>
      <c r="E10" s="13">
        <f t="shared" si="2"/>
        <v>143.29340529138108</v>
      </c>
      <c r="F10" s="13">
        <f t="shared" si="3"/>
        <v>120.78493283518438</v>
      </c>
      <c r="G10" s="13">
        <f t="shared" si="4"/>
        <v>93.048374515624943</v>
      </c>
      <c r="H10" s="13">
        <f t="shared" si="5"/>
        <v>43.908996800200299</v>
      </c>
      <c r="I10" s="13">
        <f t="shared" si="6"/>
        <v>58.034472514187634</v>
      </c>
      <c r="J10" s="13">
        <f t="shared" si="7"/>
        <v>0</v>
      </c>
      <c r="K10" s="38">
        <f t="shared" si="8"/>
        <v>28.231188426986208</v>
      </c>
      <c r="L10">
        <f t="shared" si="9"/>
        <v>23.201271640238588</v>
      </c>
    </row>
    <row r="11" spans="1:12" ht="15.75" thickBot="1">
      <c r="A11">
        <v>8</v>
      </c>
      <c r="B11">
        <v>8</v>
      </c>
      <c r="C11">
        <f t="shared" si="0"/>
        <v>171.94235884767821</v>
      </c>
      <c r="D11" s="39">
        <f t="shared" si="1"/>
        <v>167.67229944149989</v>
      </c>
      <c r="E11" s="40">
        <f t="shared" si="2"/>
        <v>127.01181047445942</v>
      </c>
      <c r="F11" s="40">
        <f t="shared" si="3"/>
        <v>106.07544484940895</v>
      </c>
      <c r="G11" s="40">
        <f t="shared" si="4"/>
        <v>85.164546614186818</v>
      </c>
      <c r="H11" s="40">
        <f t="shared" si="5"/>
        <v>27.294688127912362</v>
      </c>
      <c r="I11" s="40">
        <f t="shared" si="6"/>
        <v>52.773099207835045</v>
      </c>
      <c r="J11" s="40">
        <f t="shared" si="7"/>
        <v>28.231188426986208</v>
      </c>
      <c r="K11" s="41">
        <f t="shared" si="8"/>
        <v>0</v>
      </c>
      <c r="L11">
        <f t="shared" si="9"/>
        <v>48.009599099788325</v>
      </c>
    </row>
    <row r="12" spans="1:12">
      <c r="A12" t="s">
        <v>48</v>
      </c>
      <c r="B12">
        <v>1000</v>
      </c>
      <c r="C12">
        <f t="shared" si="0"/>
        <v>202.42035766968698</v>
      </c>
      <c r="D12">
        <f t="shared" si="1"/>
        <v>205.42350173656564</v>
      </c>
      <c r="E12">
        <f t="shared" si="2"/>
        <v>166.31124798315636</v>
      </c>
      <c r="F12">
        <f t="shared" si="3"/>
        <v>143.66410743716239</v>
      </c>
      <c r="G12">
        <f t="shared" si="4"/>
        <v>114.76819727485061</v>
      </c>
      <c r="H12">
        <f t="shared" si="5"/>
        <v>67.046441260674882</v>
      </c>
      <c r="I12">
        <f t="shared" si="6"/>
        <v>79.925706038301243</v>
      </c>
      <c r="J12">
        <f t="shared" si="7"/>
        <v>23.201271640238588</v>
      </c>
      <c r="K12">
        <f t="shared" si="8"/>
        <v>48.009599099788325</v>
      </c>
      <c r="L12">
        <f t="shared" si="9"/>
        <v>0</v>
      </c>
    </row>
    <row r="18" spans="2:16">
      <c r="B18" s="30" t="s">
        <v>45</v>
      </c>
      <c r="C18" s="30">
        <f>'Map Template'!U7</f>
        <v>582642.91358000005</v>
      </c>
      <c r="D18" s="30">
        <f>'Map Template'!V7</f>
        <v>600914.80507</v>
      </c>
    </row>
    <row r="19" spans="2:16">
      <c r="B19">
        <v>1</v>
      </c>
      <c r="C19">
        <f>Rand!X3</f>
        <v>582646</v>
      </c>
      <c r="D19">
        <f>Rand!Y3</f>
        <v>600955</v>
      </c>
    </row>
    <row r="20" spans="2:16">
      <c r="B20">
        <v>2</v>
      </c>
      <c r="C20">
        <f>Rand!X2</f>
        <v>582687</v>
      </c>
      <c r="D20">
        <f>Rand!Y2</f>
        <v>600956</v>
      </c>
    </row>
    <row r="21" spans="2:16">
      <c r="B21">
        <v>3</v>
      </c>
      <c r="C21">
        <f>Rand!X4</f>
        <v>582707</v>
      </c>
      <c r="D21">
        <f>Rand!Y4</f>
        <v>600944</v>
      </c>
    </row>
    <row r="22" spans="2:16">
      <c r="B22">
        <v>4</v>
      </c>
      <c r="C22">
        <f>Rand!X5</f>
        <v>582731</v>
      </c>
      <c r="D22">
        <f>Rand!Y5</f>
        <v>600917</v>
      </c>
    </row>
    <row r="23" spans="2:16">
      <c r="B23">
        <v>5</v>
      </c>
      <c r="C23">
        <f>Rand!X6</f>
        <v>582786</v>
      </c>
      <c r="D23">
        <f>Rand!Y6</f>
        <v>600936</v>
      </c>
    </row>
    <row r="24" spans="2:16">
      <c r="B24">
        <v>6</v>
      </c>
      <c r="C24">
        <f>Rand!X7</f>
        <v>582766</v>
      </c>
      <c r="D24">
        <f>Rand!Y7</f>
        <v>600916</v>
      </c>
    </row>
    <row r="25" spans="2:16">
      <c r="B25">
        <v>7</v>
      </c>
      <c r="C25">
        <f>Rand!X8</f>
        <v>582824</v>
      </c>
      <c r="D25">
        <f>Rand!Y8</f>
        <v>600914</v>
      </c>
    </row>
    <row r="26" spans="2:16">
      <c r="B26">
        <v>8</v>
      </c>
      <c r="C26">
        <f>Rand!X9</f>
        <v>582813</v>
      </c>
      <c r="D26">
        <f>Rand!Y9</f>
        <v>600940</v>
      </c>
    </row>
    <row r="27" spans="2:16">
      <c r="B27" s="30" t="s">
        <v>46</v>
      </c>
      <c r="C27" s="30">
        <f>'Map Template'!U8</f>
        <v>582845.05923999997</v>
      </c>
      <c r="D27" s="30">
        <f>'Map Template'!V8</f>
        <v>600904.26309000002</v>
      </c>
    </row>
    <row r="28" spans="2:16">
      <c r="C28" t="s">
        <v>43</v>
      </c>
    </row>
    <row r="29" spans="2:16">
      <c r="C29" t="s">
        <v>47</v>
      </c>
      <c r="L29" t="s">
        <v>48</v>
      </c>
    </row>
    <row r="30" spans="2:16">
      <c r="C30" s="32">
        <v>1</v>
      </c>
      <c r="D30">
        <v>1</v>
      </c>
      <c r="E30">
        <v>2</v>
      </c>
      <c r="F30">
        <v>3</v>
      </c>
      <c r="G30" s="117">
        <v>4</v>
      </c>
      <c r="H30" s="117">
        <v>5</v>
      </c>
      <c r="I30" s="117">
        <v>6</v>
      </c>
      <c r="J30" s="117">
        <v>7</v>
      </c>
      <c r="K30" s="117">
        <v>8</v>
      </c>
      <c r="L30" s="32">
        <v>9</v>
      </c>
      <c r="O30" t="s">
        <v>193</v>
      </c>
    </row>
    <row r="31" spans="2:16">
      <c r="C31">
        <f>SQRT((($D32-$C$18)^2)+(($D33-$D$18)^2))</f>
        <v>40.313253231670721</v>
      </c>
      <c r="D31">
        <f>INDEX($D$4:$K$11,D30,E30)</f>
        <v>41.012193308819754</v>
      </c>
      <c r="E31">
        <f t="shared" ref="E31:J31" si="10">INDEX($D$4:$K$11,E30,F30)</f>
        <v>23.323807579381203</v>
      </c>
      <c r="F31">
        <f t="shared" si="10"/>
        <v>36.124783736376884</v>
      </c>
      <c r="G31">
        <f t="shared" si="10"/>
        <v>58.189346103904619</v>
      </c>
      <c r="H31">
        <f t="shared" si="10"/>
        <v>28.284271247461902</v>
      </c>
      <c r="I31">
        <f t="shared" si="10"/>
        <v>58.034472514187634</v>
      </c>
      <c r="J31">
        <f t="shared" si="10"/>
        <v>28.231188426986208</v>
      </c>
      <c r="K31">
        <f>INDEX($D$4:$L$12,K30,L30)</f>
        <v>48.009599099788325</v>
      </c>
      <c r="O31" s="117" t="s">
        <v>23</v>
      </c>
      <c r="P31" s="117" t="s">
        <v>24</v>
      </c>
    </row>
    <row r="32" spans="2:16">
      <c r="B32" t="s">
        <v>25</v>
      </c>
      <c r="C32">
        <f>C18</f>
        <v>582642.91358000005</v>
      </c>
      <c r="D32">
        <f>VLOOKUP(D30,$B$19:$C$26,2,FALSE)</f>
        <v>582646</v>
      </c>
      <c r="E32">
        <f t="shared" ref="E32:K32" si="11">VLOOKUP(E30,$B$19:$C$26,2,FALSE)</f>
        <v>582687</v>
      </c>
      <c r="F32">
        <f t="shared" si="11"/>
        <v>582707</v>
      </c>
      <c r="G32">
        <f t="shared" si="11"/>
        <v>582731</v>
      </c>
      <c r="H32">
        <f t="shared" si="11"/>
        <v>582786</v>
      </c>
      <c r="I32">
        <f t="shared" si="11"/>
        <v>582766</v>
      </c>
      <c r="J32">
        <f t="shared" si="11"/>
        <v>582824</v>
      </c>
      <c r="K32">
        <f t="shared" si="11"/>
        <v>582813</v>
      </c>
      <c r="L32">
        <f>C27</f>
        <v>582845.05923999997</v>
      </c>
      <c r="N32">
        <v>1</v>
      </c>
      <c r="O32">
        <f>D32</f>
        <v>582646</v>
      </c>
      <c r="P32">
        <f>D33</f>
        <v>600955</v>
      </c>
    </row>
    <row r="33" spans="2:16">
      <c r="B33" t="s">
        <v>26</v>
      </c>
      <c r="C33">
        <f>D18</f>
        <v>600914.80507</v>
      </c>
      <c r="D33">
        <f>VLOOKUP(D30,$B$19:$D$26,3,FALSE)</f>
        <v>600955</v>
      </c>
      <c r="E33">
        <f t="shared" ref="E33:K33" si="12">VLOOKUP(E30,$B$19:$D$26,3,FALSE)</f>
        <v>600956</v>
      </c>
      <c r="F33">
        <f t="shared" si="12"/>
        <v>600944</v>
      </c>
      <c r="G33">
        <f t="shared" si="12"/>
        <v>600917</v>
      </c>
      <c r="H33">
        <f t="shared" si="12"/>
        <v>600936</v>
      </c>
      <c r="I33">
        <f t="shared" si="12"/>
        <v>600916</v>
      </c>
      <c r="J33">
        <f t="shared" si="12"/>
        <v>600914</v>
      </c>
      <c r="K33">
        <f t="shared" si="12"/>
        <v>600940</v>
      </c>
      <c r="L33">
        <f>D27</f>
        <v>600904.26309000002</v>
      </c>
      <c r="N33">
        <v>2</v>
      </c>
      <c r="O33">
        <f>E32</f>
        <v>582687</v>
      </c>
      <c r="P33">
        <f>E33</f>
        <v>600956</v>
      </c>
    </row>
    <row r="34" spans="2:16">
      <c r="N34">
        <v>3</v>
      </c>
      <c r="O34">
        <f>F32</f>
        <v>582707</v>
      </c>
      <c r="P34">
        <f>F33</f>
        <v>600944</v>
      </c>
    </row>
    <row r="35" spans="2:16">
      <c r="C35" t="s">
        <v>44</v>
      </c>
      <c r="E35" s="31">
        <f>SUM(C31:K31)</f>
        <v>361.52291524857725</v>
      </c>
      <c r="F35" t="s">
        <v>49</v>
      </c>
      <c r="N35" s="117">
        <v>4</v>
      </c>
      <c r="O35">
        <f>G32</f>
        <v>582731</v>
      </c>
      <c r="P35">
        <f>G33</f>
        <v>600917</v>
      </c>
    </row>
    <row r="36" spans="2:16">
      <c r="N36" s="117">
        <v>5</v>
      </c>
      <c r="O36">
        <f>H32</f>
        <v>582786</v>
      </c>
      <c r="P36">
        <f>H33</f>
        <v>600936</v>
      </c>
    </row>
    <row r="37" spans="2:16">
      <c r="N37" s="117">
        <v>6</v>
      </c>
      <c r="O37">
        <f>I32</f>
        <v>582766</v>
      </c>
      <c r="P37">
        <f>I33</f>
        <v>600916</v>
      </c>
    </row>
    <row r="38" spans="2:16">
      <c r="N38" s="117">
        <v>7</v>
      </c>
      <c r="O38">
        <f>J32</f>
        <v>582824</v>
      </c>
      <c r="P38">
        <f>J33</f>
        <v>600914</v>
      </c>
    </row>
    <row r="39" spans="2:16">
      <c r="N39" s="117">
        <v>8</v>
      </c>
      <c r="O39">
        <f>K32</f>
        <v>582813</v>
      </c>
      <c r="P39">
        <f>K33</f>
        <v>600940</v>
      </c>
    </row>
  </sheetData>
  <sortState xmlns:xlrd2="http://schemas.microsoft.com/office/spreadsheetml/2017/richdata2" ref="C19:D26">
    <sortCondition ref="C18:C26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OPTIMISE_8">
                <anchor moveWithCells="1">
                  <from>
                    <xdr:col>2</xdr:col>
                    <xdr:colOff>361950</xdr:colOff>
                    <xdr:row>38</xdr:row>
                    <xdr:rowOff>142875</xdr:rowOff>
                  </from>
                  <to>
                    <xdr:col>4</xdr:col>
                    <xdr:colOff>171450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"/>
  <dimension ref="A1:AD30"/>
  <sheetViews>
    <sheetView topLeftCell="C1" zoomScale="80" zoomScaleNormal="80" workbookViewId="0">
      <selection activeCell="R20" sqref="R20:AC20"/>
    </sheetView>
  </sheetViews>
  <sheetFormatPr defaultRowHeight="15"/>
  <cols>
    <col min="16" max="16" width="5.5703125" customWidth="1"/>
  </cols>
  <sheetData>
    <row r="1" spans="1:30">
      <c r="Q1" s="33" t="s">
        <v>47</v>
      </c>
      <c r="AD1" s="33" t="s">
        <v>48</v>
      </c>
    </row>
    <row r="2" spans="1:30" ht="16.350000000000001" customHeight="1">
      <c r="Q2" s="45">
        <v>0</v>
      </c>
      <c r="R2" s="45">
        <v>1</v>
      </c>
      <c r="S2" s="45">
        <v>2</v>
      </c>
      <c r="T2" s="45">
        <v>3</v>
      </c>
      <c r="U2" s="45">
        <v>4</v>
      </c>
      <c r="V2" s="45">
        <v>5</v>
      </c>
      <c r="W2" s="45">
        <v>6</v>
      </c>
      <c r="X2" s="45">
        <v>7</v>
      </c>
      <c r="Y2" s="45">
        <v>8</v>
      </c>
      <c r="Z2" s="45">
        <v>9</v>
      </c>
      <c r="AA2" s="45">
        <v>10</v>
      </c>
      <c r="AB2" s="45">
        <v>11</v>
      </c>
      <c r="AC2" s="45">
        <v>12</v>
      </c>
      <c r="AD2" s="45">
        <v>13</v>
      </c>
    </row>
    <row r="3" spans="1:30">
      <c r="B3" s="30" t="s">
        <v>45</v>
      </c>
      <c r="C3" s="30">
        <f>'Map Template'!U7</f>
        <v>582642.91358000005</v>
      </c>
      <c r="D3" s="30">
        <f>'Map Template'!V7</f>
        <v>600914.80507</v>
      </c>
      <c r="O3" s="33" t="s">
        <v>47</v>
      </c>
      <c r="P3" s="45">
        <v>0</v>
      </c>
      <c r="Q3">
        <f t="shared" ref="Q3:Q16" si="0">SQRT((($C3-$C$3)^2)+(($D3-$D$3)^2))</f>
        <v>0</v>
      </c>
      <c r="R3">
        <f t="shared" ref="R3:R16" si="1">SQRT((($C3-$C$4)^2)+(($D3-$D$4)^2))</f>
        <v>47.579274964186446</v>
      </c>
      <c r="S3">
        <f t="shared" ref="S3:S16" si="2">SQRT((($C3-$C$5)^2)+(($D3-$D$5)^2))</f>
        <v>40.313253231670721</v>
      </c>
      <c r="T3">
        <f t="shared" ref="T3:T16" si="3">SQRT((($C3-$C$6)^2)+(($D3-$D$6)^2))</f>
        <v>60.337672196701448</v>
      </c>
      <c r="U3">
        <f t="shared" ref="U3:U16" si="4">SQRT((($C3-$C$7)^2)+(($D3-$D$7)^2))</f>
        <v>57.538042772720488</v>
      </c>
      <c r="V3">
        <f t="shared" ref="V3:V16" si="5">SQRT((($C3-$C$8)^2)+(($D3-$D$8)^2))</f>
        <v>70.423101082773954</v>
      </c>
      <c r="W3">
        <f t="shared" ref="W3:W16" si="6">SQRT((($C3-$C$9)^2)+(($D3-$D$9)^2))</f>
        <v>88.113762296886705</v>
      </c>
      <c r="X3">
        <f t="shared" ref="X3:X16" si="7">SQRT((($C3-$C$10)^2)+(($D3-$D$10)^2))</f>
        <v>144.64767072478745</v>
      </c>
      <c r="Y3">
        <f t="shared" ref="Y3:Y16" si="8">SQRT((($C3-$C$11)^2)+(($D3-$D$11)^2))</f>
        <v>123.09222008765894</v>
      </c>
      <c r="Z3">
        <f t="shared" ref="Z3:Z16" si="9">SQRT((($C3-$C$12)^2)+(($D3-$D$12)^2))</f>
        <v>113.39766825693431</v>
      </c>
      <c r="AA3">
        <f t="shared" ref="AA3:AA16" si="10">SQRT((($C3-$C$13)^2)+(($D3-$D$13)^2))</f>
        <v>177.16260171408385</v>
      </c>
      <c r="AB3">
        <f t="shared" ref="AB3:AB16" si="11">SQRT((($C3-$C$14)^2)+(($D3-$D$14)^2))</f>
        <v>181.08820957230409</v>
      </c>
      <c r="AC3">
        <f t="shared" ref="AC3:AC16" si="12">SQRT((($C3-$C$15)^2)+(($D3-$D$15)^2))</f>
        <v>171.94235884767821</v>
      </c>
      <c r="AD3">
        <f t="shared" ref="AD3:AD16" si="13">SQRT((($C3-$C$16)^2)+(($D3-$D$16)^2))</f>
        <v>202.42035766968698</v>
      </c>
    </row>
    <row r="4" spans="1:30">
      <c r="A4" s="42"/>
      <c r="B4" s="45">
        <v>1</v>
      </c>
      <c r="C4">
        <f>Rand!AD4</f>
        <v>582677</v>
      </c>
      <c r="D4">
        <f>Rand!AE4</f>
        <v>600948</v>
      </c>
      <c r="P4" s="45">
        <v>1</v>
      </c>
      <c r="Q4">
        <f t="shared" si="0"/>
        <v>47.579274964186446</v>
      </c>
      <c r="R4" s="13">
        <f t="shared" si="1"/>
        <v>0</v>
      </c>
      <c r="S4" s="13">
        <f t="shared" si="2"/>
        <v>31.780497164141408</v>
      </c>
      <c r="T4" s="13">
        <f t="shared" si="3"/>
        <v>12.806248474865697</v>
      </c>
      <c r="U4" s="13">
        <f t="shared" si="4"/>
        <v>34.713109915419565</v>
      </c>
      <c r="V4" s="13">
        <f t="shared" si="5"/>
        <v>30.265491900843113</v>
      </c>
      <c r="W4" s="13">
        <f t="shared" si="6"/>
        <v>62.265560304232388</v>
      </c>
      <c r="X4">
        <f t="shared" si="7"/>
        <v>109.65856099730654</v>
      </c>
      <c r="Y4">
        <f t="shared" si="8"/>
        <v>94.578010129204984</v>
      </c>
      <c r="Z4">
        <f t="shared" si="9"/>
        <v>79.624116949577527</v>
      </c>
      <c r="AA4">
        <f t="shared" si="10"/>
        <v>145.71547618561317</v>
      </c>
      <c r="AB4">
        <f t="shared" si="11"/>
        <v>150.88074761214565</v>
      </c>
      <c r="AC4">
        <f t="shared" si="12"/>
        <v>136.23509092741122</v>
      </c>
      <c r="AD4">
        <f t="shared" si="13"/>
        <v>173.65720671977525</v>
      </c>
    </row>
    <row r="5" spans="1:30">
      <c r="A5" s="42"/>
      <c r="B5" s="45">
        <v>2</v>
      </c>
      <c r="C5" s="117">
        <f>Rand!AD3</f>
        <v>582646</v>
      </c>
      <c r="D5" s="117">
        <f>Rand!AE3</f>
        <v>600955</v>
      </c>
      <c r="P5" s="45">
        <v>2</v>
      </c>
      <c r="Q5">
        <f t="shared" si="0"/>
        <v>40.313253231670721</v>
      </c>
      <c r="R5" s="13">
        <f t="shared" si="1"/>
        <v>31.780497164141408</v>
      </c>
      <c r="S5" s="13">
        <f t="shared" si="2"/>
        <v>0</v>
      </c>
      <c r="T5" s="13">
        <f t="shared" si="3"/>
        <v>41.012193308819754</v>
      </c>
      <c r="U5" s="13">
        <f t="shared" si="4"/>
        <v>63.28506932918696</v>
      </c>
      <c r="V5" s="13">
        <f t="shared" si="5"/>
        <v>61.98386886924694</v>
      </c>
      <c r="W5" s="13">
        <f t="shared" si="6"/>
        <v>93.107464792034804</v>
      </c>
      <c r="X5">
        <f t="shared" si="7"/>
        <v>141.2834031300209</v>
      </c>
      <c r="Y5">
        <f t="shared" si="8"/>
        <v>126.17844506887855</v>
      </c>
      <c r="Z5">
        <f t="shared" si="9"/>
        <v>111.40017953306898</v>
      </c>
      <c r="AA5">
        <f t="shared" si="10"/>
        <v>177.48521065147935</v>
      </c>
      <c r="AB5">
        <f t="shared" si="11"/>
        <v>182.6608879864543</v>
      </c>
      <c r="AC5">
        <f t="shared" si="12"/>
        <v>167.67229944149989</v>
      </c>
      <c r="AD5">
        <f t="shared" si="13"/>
        <v>205.42350173656564</v>
      </c>
    </row>
    <row r="6" spans="1:30">
      <c r="A6" s="42"/>
      <c r="B6" s="45">
        <v>3</v>
      </c>
      <c r="C6" s="117">
        <f>Rand!AD2</f>
        <v>582687</v>
      </c>
      <c r="D6" s="117">
        <f>Rand!AE2</f>
        <v>600956</v>
      </c>
      <c r="P6" s="45">
        <v>3</v>
      </c>
      <c r="Q6">
        <f t="shared" si="0"/>
        <v>60.337672196701448</v>
      </c>
      <c r="R6" s="13">
        <f t="shared" si="1"/>
        <v>12.806248474865697</v>
      </c>
      <c r="S6" s="13">
        <f t="shared" si="2"/>
        <v>41.012193308819754</v>
      </c>
      <c r="T6" s="13">
        <f t="shared" si="3"/>
        <v>0</v>
      </c>
      <c r="U6" s="13">
        <f t="shared" si="4"/>
        <v>36.400549446402593</v>
      </c>
      <c r="V6" s="13">
        <f t="shared" si="5"/>
        <v>23.323807579381203</v>
      </c>
      <c r="W6" s="13">
        <f t="shared" si="6"/>
        <v>58.796258384356399</v>
      </c>
      <c r="X6">
        <f t="shared" si="7"/>
        <v>101</v>
      </c>
      <c r="Y6">
        <f t="shared" si="8"/>
        <v>88.549421229051518</v>
      </c>
      <c r="Z6">
        <f t="shared" si="9"/>
        <v>72.111025509279784</v>
      </c>
      <c r="AA6">
        <f t="shared" si="10"/>
        <v>137.78606605894515</v>
      </c>
      <c r="AB6">
        <f t="shared" si="11"/>
        <v>143.29340529138108</v>
      </c>
      <c r="AC6">
        <f t="shared" si="12"/>
        <v>127.01181047445942</v>
      </c>
      <c r="AD6">
        <f t="shared" si="13"/>
        <v>166.31124798315636</v>
      </c>
    </row>
    <row r="7" spans="1:30">
      <c r="A7" s="42"/>
      <c r="B7" s="45">
        <v>4</v>
      </c>
      <c r="C7" s="117">
        <f>Rand!AD7</f>
        <v>582700</v>
      </c>
      <c r="D7" s="117">
        <f>Rand!AE7</f>
        <v>600922</v>
      </c>
      <c r="P7" s="45">
        <v>4</v>
      </c>
      <c r="Q7">
        <f t="shared" si="0"/>
        <v>57.538042772720488</v>
      </c>
      <c r="R7" s="13">
        <f t="shared" si="1"/>
        <v>34.713109915419565</v>
      </c>
      <c r="S7" s="13">
        <f t="shared" si="2"/>
        <v>63.28506932918696</v>
      </c>
      <c r="T7" s="13">
        <f t="shared" si="3"/>
        <v>36.400549446402593</v>
      </c>
      <c r="U7" s="13">
        <f t="shared" si="4"/>
        <v>0</v>
      </c>
      <c r="V7" s="13">
        <f t="shared" si="5"/>
        <v>23.086792761230392</v>
      </c>
      <c r="W7" s="13">
        <f t="shared" si="6"/>
        <v>31.400636936215164</v>
      </c>
      <c r="X7">
        <f t="shared" si="7"/>
        <v>87.13208364316786</v>
      </c>
      <c r="Y7">
        <f t="shared" si="8"/>
        <v>66.272166103123567</v>
      </c>
      <c r="Z7">
        <f t="shared" si="9"/>
        <v>55.901699437494742</v>
      </c>
      <c r="AA7">
        <f t="shared" si="10"/>
        <v>120.01666550941998</v>
      </c>
      <c r="AB7">
        <f t="shared" si="11"/>
        <v>124.25779653607253</v>
      </c>
      <c r="AC7">
        <f t="shared" si="12"/>
        <v>114.42464769445436</v>
      </c>
      <c r="AD7">
        <f t="shared" si="13"/>
        <v>146.13959451742411</v>
      </c>
    </row>
    <row r="8" spans="1:30">
      <c r="A8" s="42"/>
      <c r="B8" s="45">
        <v>5</v>
      </c>
      <c r="C8" s="117">
        <f>Rand!AD5</f>
        <v>582707</v>
      </c>
      <c r="D8" s="117">
        <f>Rand!AE5</f>
        <v>600944</v>
      </c>
      <c r="P8" s="45">
        <v>5</v>
      </c>
      <c r="Q8">
        <f t="shared" si="0"/>
        <v>70.423101082773954</v>
      </c>
      <c r="R8" s="13">
        <f t="shared" si="1"/>
        <v>30.265491900843113</v>
      </c>
      <c r="S8" s="13">
        <f t="shared" si="2"/>
        <v>61.98386886924694</v>
      </c>
      <c r="T8" s="13">
        <f t="shared" si="3"/>
        <v>23.323807579381203</v>
      </c>
      <c r="U8" s="13">
        <f t="shared" si="4"/>
        <v>23.086792761230392</v>
      </c>
      <c r="V8" s="13">
        <f t="shared" si="5"/>
        <v>0</v>
      </c>
      <c r="W8" s="13">
        <f t="shared" si="6"/>
        <v>36.124783736376884</v>
      </c>
      <c r="X8">
        <f t="shared" si="7"/>
        <v>79.404030124421269</v>
      </c>
      <c r="Y8">
        <f t="shared" si="8"/>
        <v>65.30696746902278</v>
      </c>
      <c r="Z8">
        <f t="shared" si="9"/>
        <v>49.477267507411923</v>
      </c>
      <c r="AA8">
        <f t="shared" si="10"/>
        <v>115.52056094046635</v>
      </c>
      <c r="AB8">
        <f t="shared" si="11"/>
        <v>120.78493283518438</v>
      </c>
      <c r="AC8">
        <f t="shared" si="12"/>
        <v>106.07544484940895</v>
      </c>
      <c r="AD8">
        <f t="shared" si="13"/>
        <v>143.66410743716239</v>
      </c>
    </row>
    <row r="9" spans="1:30">
      <c r="A9" s="42"/>
      <c r="B9" s="45">
        <v>6</v>
      </c>
      <c r="C9" s="117">
        <f>Rand!AD6</f>
        <v>582731</v>
      </c>
      <c r="D9" s="117">
        <f>Rand!AE6</f>
        <v>600917</v>
      </c>
      <c r="P9" s="45">
        <v>6</v>
      </c>
      <c r="Q9">
        <f t="shared" si="0"/>
        <v>88.113762296886705</v>
      </c>
      <c r="R9" s="13">
        <f t="shared" si="1"/>
        <v>62.265560304232388</v>
      </c>
      <c r="S9" s="13">
        <f t="shared" si="2"/>
        <v>93.107464792034804</v>
      </c>
      <c r="T9" s="13">
        <f t="shared" si="3"/>
        <v>58.796258384356399</v>
      </c>
      <c r="U9" s="13">
        <f t="shared" si="4"/>
        <v>31.400636936215164</v>
      </c>
      <c r="V9" s="13">
        <f t="shared" si="5"/>
        <v>36.124783736376884</v>
      </c>
      <c r="W9" s="13">
        <f t="shared" si="6"/>
        <v>0</v>
      </c>
      <c r="X9">
        <f t="shared" si="7"/>
        <v>58.189346103904619</v>
      </c>
      <c r="Y9">
        <f t="shared" si="8"/>
        <v>35.014282800023196</v>
      </c>
      <c r="Z9">
        <f t="shared" si="9"/>
        <v>28.301943396169811</v>
      </c>
      <c r="AA9">
        <f t="shared" si="10"/>
        <v>89.050547443572739</v>
      </c>
      <c r="AB9">
        <f t="shared" si="11"/>
        <v>93.048374515624943</v>
      </c>
      <c r="AC9">
        <f t="shared" si="12"/>
        <v>85.164546614186818</v>
      </c>
      <c r="AD9">
        <f t="shared" si="13"/>
        <v>114.76819727485061</v>
      </c>
    </row>
    <row r="10" spans="1:30">
      <c r="B10" s="45">
        <v>7</v>
      </c>
      <c r="C10" s="117">
        <f>Rand!AD8</f>
        <v>582786</v>
      </c>
      <c r="D10" s="117">
        <f>Rand!AE8</f>
        <v>600936</v>
      </c>
      <c r="P10" s="45">
        <v>7</v>
      </c>
      <c r="Q10">
        <f t="shared" si="0"/>
        <v>144.64767072478745</v>
      </c>
      <c r="R10">
        <f t="shared" si="1"/>
        <v>109.65856099730654</v>
      </c>
      <c r="S10">
        <f t="shared" si="2"/>
        <v>141.2834031300209</v>
      </c>
      <c r="T10">
        <f t="shared" si="3"/>
        <v>101</v>
      </c>
      <c r="U10">
        <f t="shared" si="4"/>
        <v>87.13208364316786</v>
      </c>
      <c r="V10">
        <f t="shared" si="5"/>
        <v>79.404030124421269</v>
      </c>
      <c r="W10">
        <f t="shared" si="6"/>
        <v>58.189346103904619</v>
      </c>
      <c r="X10">
        <f t="shared" si="7"/>
        <v>0</v>
      </c>
      <c r="Y10">
        <f t="shared" si="8"/>
        <v>28.284271247461902</v>
      </c>
      <c r="Z10">
        <f t="shared" si="9"/>
        <v>31.256999216175569</v>
      </c>
      <c r="AA10">
        <f t="shared" si="10"/>
        <v>37.576588456111871</v>
      </c>
      <c r="AB10">
        <f t="shared" si="11"/>
        <v>43.908996800200299</v>
      </c>
      <c r="AC10">
        <f t="shared" si="12"/>
        <v>27.294688127912362</v>
      </c>
      <c r="AD10">
        <f t="shared" si="13"/>
        <v>67.046441260674882</v>
      </c>
    </row>
    <row r="11" spans="1:30">
      <c r="B11" s="45">
        <v>8</v>
      </c>
      <c r="C11" s="117">
        <f>Rand!AD9</f>
        <v>582766</v>
      </c>
      <c r="D11" s="117">
        <f>Rand!AE9</f>
        <v>600916</v>
      </c>
      <c r="P11" s="45">
        <v>8</v>
      </c>
      <c r="Q11">
        <f t="shared" si="0"/>
        <v>123.09222008765894</v>
      </c>
      <c r="R11" s="13">
        <f t="shared" si="1"/>
        <v>94.578010129204984</v>
      </c>
      <c r="S11" s="13">
        <f t="shared" si="2"/>
        <v>126.17844506887855</v>
      </c>
      <c r="T11" s="13">
        <f t="shared" si="3"/>
        <v>88.549421229051518</v>
      </c>
      <c r="U11" s="13">
        <f t="shared" si="4"/>
        <v>66.272166103123567</v>
      </c>
      <c r="V11" s="13">
        <f t="shared" si="5"/>
        <v>65.30696746902278</v>
      </c>
      <c r="W11" s="13">
        <f t="shared" si="6"/>
        <v>35.014282800023196</v>
      </c>
      <c r="X11">
        <f t="shared" si="7"/>
        <v>28.284271247461902</v>
      </c>
      <c r="Y11">
        <f t="shared" si="8"/>
        <v>0</v>
      </c>
      <c r="Z11">
        <f t="shared" si="9"/>
        <v>19.416487838947599</v>
      </c>
      <c r="AA11">
        <f t="shared" si="10"/>
        <v>54.147945482723536</v>
      </c>
      <c r="AB11">
        <f t="shared" si="11"/>
        <v>58.034472514187634</v>
      </c>
      <c r="AC11">
        <f t="shared" si="12"/>
        <v>52.773099207835045</v>
      </c>
      <c r="AD11">
        <f t="shared" si="13"/>
        <v>79.925706038301243</v>
      </c>
    </row>
    <row r="12" spans="1:30">
      <c r="B12" s="45">
        <v>9</v>
      </c>
      <c r="C12" s="117">
        <f>Rand!AD10</f>
        <v>582755</v>
      </c>
      <c r="D12" s="117">
        <f>Rand!AE10</f>
        <v>600932</v>
      </c>
      <c r="P12" s="45">
        <v>9</v>
      </c>
      <c r="Q12">
        <f t="shared" si="0"/>
        <v>113.39766825693431</v>
      </c>
      <c r="R12" s="13">
        <f t="shared" si="1"/>
        <v>79.624116949577527</v>
      </c>
      <c r="S12" s="13">
        <f t="shared" si="2"/>
        <v>111.40017953306898</v>
      </c>
      <c r="T12" s="13">
        <f t="shared" si="3"/>
        <v>72.111025509279784</v>
      </c>
      <c r="U12" s="13">
        <f t="shared" si="4"/>
        <v>55.901699437494742</v>
      </c>
      <c r="V12" s="13">
        <f t="shared" si="5"/>
        <v>49.477267507411923</v>
      </c>
      <c r="W12" s="13">
        <f t="shared" si="6"/>
        <v>28.301943396169811</v>
      </c>
      <c r="X12">
        <f t="shared" si="7"/>
        <v>31.256999216175569</v>
      </c>
      <c r="Y12">
        <f t="shared" si="8"/>
        <v>19.416487838947599</v>
      </c>
      <c r="Z12">
        <f t="shared" si="9"/>
        <v>0</v>
      </c>
      <c r="AA12">
        <f t="shared" si="10"/>
        <v>66.098411478642959</v>
      </c>
      <c r="AB12">
        <f t="shared" si="11"/>
        <v>71.309185944028272</v>
      </c>
      <c r="AC12">
        <f t="shared" si="12"/>
        <v>58.54912467321779</v>
      </c>
      <c r="AD12">
        <f t="shared" si="13"/>
        <v>94.233767226613864</v>
      </c>
    </row>
    <row r="13" spans="1:30">
      <c r="B13" s="45">
        <v>10</v>
      </c>
      <c r="C13" s="117">
        <f>Rand!AD13</f>
        <v>582820</v>
      </c>
      <c r="D13" s="117">
        <f>Rand!AE13</f>
        <v>600920</v>
      </c>
      <c r="P13" s="45">
        <v>10</v>
      </c>
      <c r="Q13">
        <f t="shared" si="0"/>
        <v>177.16260171408385</v>
      </c>
      <c r="R13" s="13">
        <f t="shared" si="1"/>
        <v>145.71547618561317</v>
      </c>
      <c r="S13" s="13">
        <f t="shared" si="2"/>
        <v>177.48521065147935</v>
      </c>
      <c r="T13" s="13">
        <f t="shared" si="3"/>
        <v>137.78606605894515</v>
      </c>
      <c r="U13" s="13">
        <f t="shared" si="4"/>
        <v>120.01666550941998</v>
      </c>
      <c r="V13" s="13">
        <f t="shared" si="5"/>
        <v>115.52056094046635</v>
      </c>
      <c r="W13" s="13">
        <f t="shared" si="6"/>
        <v>89.050547443572739</v>
      </c>
      <c r="X13">
        <f t="shared" si="7"/>
        <v>37.576588456111871</v>
      </c>
      <c r="Y13">
        <f t="shared" si="8"/>
        <v>54.147945482723536</v>
      </c>
      <c r="Z13">
        <f t="shared" si="9"/>
        <v>66.098411478642959</v>
      </c>
      <c r="AA13">
        <f t="shared" si="10"/>
        <v>0</v>
      </c>
      <c r="AB13">
        <f t="shared" si="11"/>
        <v>7.2111025509279782</v>
      </c>
      <c r="AC13">
        <f t="shared" si="12"/>
        <v>21.189620100417091</v>
      </c>
      <c r="AD13">
        <f t="shared" si="13"/>
        <v>29.590806777167444</v>
      </c>
    </row>
    <row r="14" spans="1:30">
      <c r="B14" s="45">
        <v>11</v>
      </c>
      <c r="C14" s="117">
        <f>Rand!AD11</f>
        <v>582824</v>
      </c>
      <c r="D14" s="117">
        <f>Rand!AE11</f>
        <v>600914</v>
      </c>
      <c r="P14" s="45">
        <v>11</v>
      </c>
      <c r="Q14">
        <f t="shared" si="0"/>
        <v>181.08820957230409</v>
      </c>
      <c r="R14" s="13">
        <f t="shared" si="1"/>
        <v>150.88074761214565</v>
      </c>
      <c r="S14" s="13">
        <f t="shared" si="2"/>
        <v>182.6608879864543</v>
      </c>
      <c r="T14" s="13">
        <f t="shared" si="3"/>
        <v>143.29340529138108</v>
      </c>
      <c r="U14" s="13">
        <f t="shared" si="4"/>
        <v>124.25779653607253</v>
      </c>
      <c r="V14" s="13">
        <f t="shared" si="5"/>
        <v>120.78493283518438</v>
      </c>
      <c r="W14" s="13">
        <f t="shared" si="6"/>
        <v>93.048374515624943</v>
      </c>
      <c r="X14">
        <f t="shared" si="7"/>
        <v>43.908996800200299</v>
      </c>
      <c r="Y14">
        <f t="shared" si="8"/>
        <v>58.034472514187634</v>
      </c>
      <c r="Z14">
        <f t="shared" si="9"/>
        <v>71.309185944028272</v>
      </c>
      <c r="AA14">
        <f t="shared" si="10"/>
        <v>7.2111025509279782</v>
      </c>
      <c r="AB14">
        <f t="shared" si="11"/>
        <v>0</v>
      </c>
      <c r="AC14">
        <f t="shared" si="12"/>
        <v>28.231188426986208</v>
      </c>
      <c r="AD14">
        <f t="shared" si="13"/>
        <v>23.201271640238588</v>
      </c>
    </row>
    <row r="15" spans="1:30">
      <c r="B15" s="45">
        <v>12</v>
      </c>
      <c r="C15" s="117">
        <f>Rand!AD12</f>
        <v>582813</v>
      </c>
      <c r="D15" s="117">
        <f>Rand!AE12</f>
        <v>600940</v>
      </c>
      <c r="P15" s="45">
        <v>12</v>
      </c>
      <c r="Q15">
        <f t="shared" si="0"/>
        <v>171.94235884767821</v>
      </c>
      <c r="R15" s="13">
        <f t="shared" si="1"/>
        <v>136.23509092741122</v>
      </c>
      <c r="S15" s="13">
        <f t="shared" si="2"/>
        <v>167.67229944149989</v>
      </c>
      <c r="T15" s="13">
        <f t="shared" si="3"/>
        <v>127.01181047445942</v>
      </c>
      <c r="U15" s="13">
        <f t="shared" si="4"/>
        <v>114.42464769445436</v>
      </c>
      <c r="V15" s="13">
        <f t="shared" si="5"/>
        <v>106.07544484940895</v>
      </c>
      <c r="W15" s="13">
        <f t="shared" si="6"/>
        <v>85.164546614186818</v>
      </c>
      <c r="X15">
        <f t="shared" si="7"/>
        <v>27.294688127912362</v>
      </c>
      <c r="Y15">
        <f t="shared" si="8"/>
        <v>52.773099207835045</v>
      </c>
      <c r="Z15">
        <f t="shared" si="9"/>
        <v>58.54912467321779</v>
      </c>
      <c r="AA15">
        <f t="shared" si="10"/>
        <v>21.189620100417091</v>
      </c>
      <c r="AB15">
        <f t="shared" si="11"/>
        <v>28.231188426986208</v>
      </c>
      <c r="AC15">
        <f t="shared" si="12"/>
        <v>0</v>
      </c>
      <c r="AD15">
        <f t="shared" si="13"/>
        <v>48.009599099788325</v>
      </c>
    </row>
    <row r="16" spans="1:30">
      <c r="B16" s="30" t="s">
        <v>46</v>
      </c>
      <c r="C16" s="30">
        <f>'Map Template'!U8</f>
        <v>582845.05923999997</v>
      </c>
      <c r="D16" s="30">
        <f>'Map Template'!V8</f>
        <v>600904.26309000002</v>
      </c>
      <c r="O16" s="33" t="s">
        <v>48</v>
      </c>
      <c r="P16" s="45">
        <v>13</v>
      </c>
      <c r="Q16">
        <f t="shared" si="0"/>
        <v>202.42035766968698</v>
      </c>
      <c r="R16">
        <f t="shared" si="1"/>
        <v>173.65720671977525</v>
      </c>
      <c r="S16">
        <f t="shared" si="2"/>
        <v>205.42350173656564</v>
      </c>
      <c r="T16">
        <f t="shared" si="3"/>
        <v>166.31124798315636</v>
      </c>
      <c r="U16">
        <f t="shared" si="4"/>
        <v>146.13959451742411</v>
      </c>
      <c r="V16">
        <f t="shared" si="5"/>
        <v>143.66410743716239</v>
      </c>
      <c r="W16">
        <f t="shared" si="6"/>
        <v>114.76819727485061</v>
      </c>
      <c r="X16">
        <f t="shared" si="7"/>
        <v>67.046441260674882</v>
      </c>
      <c r="Y16">
        <f t="shared" si="8"/>
        <v>79.925706038301243</v>
      </c>
      <c r="Z16">
        <f t="shared" si="9"/>
        <v>94.233767226613864</v>
      </c>
      <c r="AA16">
        <f t="shared" si="10"/>
        <v>29.590806777167444</v>
      </c>
      <c r="AB16">
        <f t="shared" si="11"/>
        <v>23.201271640238588</v>
      </c>
      <c r="AC16">
        <f t="shared" si="12"/>
        <v>48.009599099788325</v>
      </c>
      <c r="AD16">
        <f t="shared" si="13"/>
        <v>0</v>
      </c>
    </row>
    <row r="18" spans="1:30">
      <c r="D18" t="s">
        <v>23</v>
      </c>
      <c r="E18" t="s">
        <v>24</v>
      </c>
      <c r="Q18" s="43" t="s">
        <v>43</v>
      </c>
      <c r="R18" s="43"/>
    </row>
    <row r="19" spans="1:30">
      <c r="C19">
        <v>1</v>
      </c>
      <c r="D19">
        <f>R22</f>
        <v>582677</v>
      </c>
      <c r="E19">
        <f>R23</f>
        <v>600948</v>
      </c>
      <c r="Q19" s="33" t="s">
        <v>47</v>
      </c>
      <c r="AD19" s="33" t="s">
        <v>48</v>
      </c>
    </row>
    <row r="20" spans="1:30">
      <c r="C20">
        <v>2</v>
      </c>
      <c r="D20">
        <f>S22</f>
        <v>582646</v>
      </c>
      <c r="E20">
        <f>S23</f>
        <v>600955</v>
      </c>
      <c r="Q20" s="32">
        <v>1</v>
      </c>
      <c r="R20" s="45">
        <v>1</v>
      </c>
      <c r="S20" s="45">
        <v>2</v>
      </c>
      <c r="T20" s="45">
        <v>3</v>
      </c>
      <c r="U20" s="45">
        <v>4</v>
      </c>
      <c r="V20" s="45">
        <v>5</v>
      </c>
      <c r="W20" s="45">
        <v>6</v>
      </c>
      <c r="X20" s="45">
        <v>7</v>
      </c>
      <c r="Y20" s="45">
        <v>8</v>
      </c>
      <c r="Z20" s="45">
        <v>9</v>
      </c>
      <c r="AA20" s="45">
        <v>10</v>
      </c>
      <c r="AB20" s="45">
        <v>11</v>
      </c>
      <c r="AC20" s="45">
        <v>12</v>
      </c>
      <c r="AD20" s="32">
        <v>13</v>
      </c>
    </row>
    <row r="21" spans="1:30">
      <c r="C21">
        <v>3</v>
      </c>
      <c r="D21">
        <f>T22</f>
        <v>582687</v>
      </c>
      <c r="E21">
        <f>T23</f>
        <v>600956</v>
      </c>
      <c r="Q21">
        <f>SQRT((($R22-$C$3)^2)+(($R23-$D$3)^2))</f>
        <v>47.579274964186446</v>
      </c>
      <c r="R21">
        <f t="shared" ref="R21:AB21" si="14">INDEX($R$4:$AC$15,R20,S20)</f>
        <v>31.780497164141408</v>
      </c>
      <c r="S21">
        <f t="shared" si="14"/>
        <v>41.012193308819754</v>
      </c>
      <c r="T21">
        <f t="shared" si="14"/>
        <v>36.400549446402593</v>
      </c>
      <c r="U21">
        <f t="shared" si="14"/>
        <v>23.086792761230392</v>
      </c>
      <c r="V21">
        <f t="shared" si="14"/>
        <v>36.124783736376884</v>
      </c>
      <c r="W21">
        <f t="shared" si="14"/>
        <v>58.189346103904619</v>
      </c>
      <c r="X21">
        <f t="shared" si="14"/>
        <v>28.284271247461902</v>
      </c>
      <c r="Y21">
        <f t="shared" si="14"/>
        <v>19.416487838947599</v>
      </c>
      <c r="Z21">
        <f t="shared" si="14"/>
        <v>66.098411478642959</v>
      </c>
      <c r="AA21">
        <f t="shared" si="14"/>
        <v>7.2111025509279782</v>
      </c>
      <c r="AB21">
        <f t="shared" si="14"/>
        <v>28.231188426986208</v>
      </c>
      <c r="AC21">
        <f>INDEX($Q$3:$AD$16,AC20,AD20)</f>
        <v>28.231188426986208</v>
      </c>
    </row>
    <row r="22" spans="1:30">
      <c r="C22">
        <v>4</v>
      </c>
      <c r="D22">
        <f>U22</f>
        <v>582700</v>
      </c>
      <c r="E22">
        <f>U23</f>
        <v>600922</v>
      </c>
      <c r="P22" s="44" t="s">
        <v>25</v>
      </c>
      <c r="Q22">
        <f>C3</f>
        <v>582642.91358000005</v>
      </c>
      <c r="R22">
        <f t="shared" ref="R22:AC22" si="15">VLOOKUP(R20,$B$4:$C$15,2,FALSE)</f>
        <v>582677</v>
      </c>
      <c r="S22">
        <f t="shared" si="15"/>
        <v>582646</v>
      </c>
      <c r="T22">
        <f t="shared" si="15"/>
        <v>582687</v>
      </c>
      <c r="U22">
        <f t="shared" si="15"/>
        <v>582700</v>
      </c>
      <c r="V22">
        <f t="shared" si="15"/>
        <v>582707</v>
      </c>
      <c r="W22">
        <f t="shared" si="15"/>
        <v>582731</v>
      </c>
      <c r="X22">
        <f t="shared" si="15"/>
        <v>582786</v>
      </c>
      <c r="Y22">
        <f t="shared" si="15"/>
        <v>582766</v>
      </c>
      <c r="Z22">
        <f t="shared" si="15"/>
        <v>582755</v>
      </c>
      <c r="AA22">
        <f t="shared" si="15"/>
        <v>582820</v>
      </c>
      <c r="AB22">
        <f t="shared" si="15"/>
        <v>582824</v>
      </c>
      <c r="AC22">
        <f t="shared" si="15"/>
        <v>582813</v>
      </c>
      <c r="AD22">
        <f>C16</f>
        <v>582845.05923999997</v>
      </c>
    </row>
    <row r="23" spans="1:30" s="42" customFormat="1">
      <c r="A23"/>
      <c r="B23"/>
      <c r="C23" s="117">
        <v>5</v>
      </c>
      <c r="D23">
        <f>V22</f>
        <v>582707</v>
      </c>
      <c r="E23" s="42">
        <f>V23</f>
        <v>600944</v>
      </c>
      <c r="P23" s="44" t="s">
        <v>26</v>
      </c>
      <c r="Q23">
        <f>D3</f>
        <v>600914.80507</v>
      </c>
      <c r="R23">
        <f t="shared" ref="R23:AC23" si="16">VLOOKUP(R20,$B$4:$D$15,3,FALSE)</f>
        <v>600948</v>
      </c>
      <c r="S23">
        <f t="shared" si="16"/>
        <v>600955</v>
      </c>
      <c r="T23">
        <f t="shared" si="16"/>
        <v>600956</v>
      </c>
      <c r="U23">
        <f t="shared" si="16"/>
        <v>600922</v>
      </c>
      <c r="V23">
        <f t="shared" si="16"/>
        <v>600944</v>
      </c>
      <c r="W23">
        <f t="shared" si="16"/>
        <v>600917</v>
      </c>
      <c r="X23">
        <f t="shared" si="16"/>
        <v>600936</v>
      </c>
      <c r="Y23">
        <f t="shared" si="16"/>
        <v>600916</v>
      </c>
      <c r="Z23">
        <f t="shared" si="16"/>
        <v>600932</v>
      </c>
      <c r="AA23">
        <f t="shared" si="16"/>
        <v>600920</v>
      </c>
      <c r="AB23">
        <f t="shared" si="16"/>
        <v>600914</v>
      </c>
      <c r="AC23">
        <f t="shared" si="16"/>
        <v>600940</v>
      </c>
      <c r="AD23">
        <f>D16</f>
        <v>600904.26309000002</v>
      </c>
    </row>
    <row r="24" spans="1:30" s="42" customFormat="1">
      <c r="A24"/>
      <c r="C24" s="117">
        <v>6</v>
      </c>
      <c r="D24" s="42">
        <f>W22</f>
        <v>582731</v>
      </c>
      <c r="E24" s="42">
        <f>W23</f>
        <v>600917</v>
      </c>
      <c r="P24"/>
      <c r="Q24"/>
      <c r="R24"/>
      <c r="S24"/>
      <c r="T24"/>
      <c r="U24"/>
      <c r="V24"/>
      <c r="W24"/>
      <c r="X24"/>
    </row>
    <row r="25" spans="1:30" s="42" customFormat="1">
      <c r="C25" s="117">
        <v>7</v>
      </c>
      <c r="D25" s="42">
        <f>X22</f>
        <v>582786</v>
      </c>
      <c r="E25" s="42">
        <f>X23</f>
        <v>600936</v>
      </c>
      <c r="P25"/>
      <c r="Q25" s="43" t="s">
        <v>44</v>
      </c>
      <c r="R25" s="43"/>
      <c r="S25" s="31">
        <f>SUM(Q21:AC21)</f>
        <v>451.64608745501488</v>
      </c>
      <c r="T25" t="s">
        <v>49</v>
      </c>
      <c r="U25"/>
      <c r="V25"/>
      <c r="W25"/>
      <c r="X25"/>
    </row>
    <row r="26" spans="1:30" s="42" customFormat="1">
      <c r="C26" s="117">
        <v>8</v>
      </c>
      <c r="D26" s="42">
        <f>Y22</f>
        <v>582766</v>
      </c>
      <c r="E26" s="42">
        <f>Y23</f>
        <v>600916</v>
      </c>
    </row>
    <row r="27" spans="1:30" s="42" customFormat="1">
      <c r="C27" s="117">
        <v>9</v>
      </c>
      <c r="D27" s="42">
        <f>Z22</f>
        <v>582755</v>
      </c>
      <c r="E27" s="42">
        <f>Z23</f>
        <v>600932</v>
      </c>
    </row>
    <row r="28" spans="1:30" s="42" customFormat="1">
      <c r="C28" s="117">
        <v>10</v>
      </c>
      <c r="D28" s="42">
        <f>AA22</f>
        <v>582820</v>
      </c>
      <c r="E28" s="42">
        <f>AA23</f>
        <v>600920</v>
      </c>
    </row>
    <row r="29" spans="1:30" s="42" customFormat="1">
      <c r="C29" s="117">
        <v>11</v>
      </c>
      <c r="D29" s="42">
        <f>AB22</f>
        <v>582824</v>
      </c>
      <c r="E29" s="42">
        <f>AB23</f>
        <v>600914</v>
      </c>
    </row>
    <row r="30" spans="1:30" s="42" customFormat="1">
      <c r="C30" s="117">
        <v>12</v>
      </c>
      <c r="D30" s="42">
        <f>AC22</f>
        <v>582813</v>
      </c>
      <c r="E30" s="42">
        <f>AC23</f>
        <v>600940</v>
      </c>
    </row>
  </sheetData>
  <sortState xmlns:xlrd2="http://schemas.microsoft.com/office/spreadsheetml/2017/richdata2" ref="C4:D15">
    <sortCondition ref="C3:C15"/>
  </sortState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6"/>
  <dimension ref="A1:AH40"/>
  <sheetViews>
    <sheetView topLeftCell="A7" zoomScale="80" zoomScaleNormal="80" workbookViewId="0">
      <selection activeCell="R24" sqref="R24:AG24"/>
    </sheetView>
  </sheetViews>
  <sheetFormatPr defaultRowHeight="15"/>
  <cols>
    <col min="16" max="16" width="5.5703125" customWidth="1"/>
  </cols>
  <sheetData>
    <row r="1" spans="1:34">
      <c r="Q1" s="33" t="s">
        <v>47</v>
      </c>
      <c r="AH1" s="33" t="s">
        <v>48</v>
      </c>
    </row>
    <row r="2" spans="1:34" ht="16.350000000000001" customHeight="1">
      <c r="Q2" s="45">
        <v>0</v>
      </c>
      <c r="R2" s="45">
        <v>1</v>
      </c>
      <c r="S2" s="45">
        <v>2</v>
      </c>
      <c r="T2" s="45">
        <v>3</v>
      </c>
      <c r="U2" s="45">
        <v>4</v>
      </c>
      <c r="V2" s="45">
        <v>5</v>
      </c>
      <c r="W2" s="45">
        <v>6</v>
      </c>
      <c r="X2" s="45">
        <v>7</v>
      </c>
      <c r="Y2" s="45">
        <v>8</v>
      </c>
      <c r="Z2" s="45">
        <v>9</v>
      </c>
      <c r="AA2" s="45">
        <v>10</v>
      </c>
      <c r="AB2" s="45">
        <v>11</v>
      </c>
      <c r="AC2" s="45">
        <v>12</v>
      </c>
      <c r="AD2" s="45">
        <v>13</v>
      </c>
      <c r="AE2" s="45">
        <v>14</v>
      </c>
      <c r="AF2" s="45">
        <v>15</v>
      </c>
      <c r="AG2" s="45">
        <v>16</v>
      </c>
      <c r="AH2" s="45">
        <v>17</v>
      </c>
    </row>
    <row r="3" spans="1:34">
      <c r="B3" s="30" t="s">
        <v>45</v>
      </c>
      <c r="C3" s="30">
        <f>'Map Template'!U7</f>
        <v>582642.91358000005</v>
      </c>
      <c r="D3" s="30">
        <f>'Map Template'!V7</f>
        <v>600914.80507</v>
      </c>
      <c r="O3" s="33" t="s">
        <v>47</v>
      </c>
      <c r="P3" s="45">
        <v>0</v>
      </c>
      <c r="Q3">
        <f t="shared" ref="Q3:Q20" si="0">SQRT((($C3-$C$3)^2)+(($D3-$D$3)^2))</f>
        <v>0</v>
      </c>
      <c r="R3">
        <f t="shared" ref="R3:R20" si="1">SQRT((($C3-$C$4)^2)+(($D3-$D$4)^2))</f>
        <v>41.620277823641914</v>
      </c>
      <c r="S3">
        <f t="shared" ref="S3:S20" si="2">SQRT((($C3-$C$5)^2)+(($D3-$D$5)^2))</f>
        <v>47.579274964186446</v>
      </c>
      <c r="T3">
        <f t="shared" ref="T3:T20" si="3">SQRT((($C3-$C$6)^2)+(($D3-$D$6)^2))</f>
        <v>40.313253231670721</v>
      </c>
      <c r="U3">
        <f t="shared" ref="U3:U20" si="4">SQRT((($C3-$C$7)^2)+(($D3-$D$7)^2))</f>
        <v>60.337672196701448</v>
      </c>
      <c r="V3">
        <f t="shared" ref="V3:V20" si="5">SQRT((($C3-$C$8)^2)+(($D3-$D$8)^2))</f>
        <v>57.538042772720488</v>
      </c>
      <c r="W3">
        <f t="shared" ref="W3:W20" si="6">SQRT((($C3-$C$9)^2)+(($D3-$D$9)^2))</f>
        <v>70.423101082773954</v>
      </c>
      <c r="X3">
        <f t="shared" ref="X3:X20" si="7">SQRT((($C3-$C$10)^2)+(($D3-$D$10)^2))</f>
        <v>88.113762296886705</v>
      </c>
      <c r="Y3">
        <f t="shared" ref="Y3:Y20" si="8">SQRT((($C3-$C$11)^2)+(($D3-$D$11)^2))</f>
        <v>93.385998233741176</v>
      </c>
      <c r="Z3">
        <f>SQRT((($C3-$C$12)^2)+(($D3-$D$12)^2))</f>
        <v>144.64767072478745</v>
      </c>
      <c r="AA3">
        <f>SQRT((($C3-$C$13)^2)+(($D3-$D$13)^2))</f>
        <v>123.09222008765894</v>
      </c>
      <c r="AB3">
        <f>SQRT((($C3-$C$14)^2)+(($D3-$D$14)^2))</f>
        <v>135.63985235212965</v>
      </c>
      <c r="AC3">
        <f>SQRT((($C3-$C$15)^2)+(($D3-$D$15)^2))</f>
        <v>113.39766825693431</v>
      </c>
      <c r="AD3">
        <f>SQRT((($C3-$C$16)^2)+(($D3-$D$16)^2))</f>
        <v>177.16260171408385</v>
      </c>
      <c r="AE3">
        <f>SQRT((($C3-$C$17)^2)+(($D3-$D$17)^2))</f>
        <v>181.08820957230409</v>
      </c>
      <c r="AF3">
        <f>SQRT((($C3-$C$18)^2)+(($D3-$D$18)^2))</f>
        <v>171.94235884767821</v>
      </c>
      <c r="AG3">
        <f>SQRT((($C3-$C$19)^2)+(($D3-$D$19)^2))</f>
        <v>198.81959487460227</v>
      </c>
      <c r="AH3">
        <f t="shared" ref="AH3:AH20" si="9">SQRT((($C3-$C$20)^2)+(($D3-$D$20)^2))</f>
        <v>202.42035766968698</v>
      </c>
    </row>
    <row r="4" spans="1:34">
      <c r="A4" s="42"/>
      <c r="B4" s="45">
        <v>1</v>
      </c>
      <c r="C4">
        <f>Rand!V5</f>
        <v>582683</v>
      </c>
      <c r="D4">
        <f>Rand!W5</f>
        <v>600926</v>
      </c>
      <c r="P4" s="45">
        <v>1</v>
      </c>
      <c r="Q4">
        <f t="shared" si="0"/>
        <v>41.620277823641914</v>
      </c>
      <c r="R4" s="13">
        <f t="shared" si="1"/>
        <v>0</v>
      </c>
      <c r="S4" s="13">
        <f t="shared" si="2"/>
        <v>22.803508501982758</v>
      </c>
      <c r="T4" s="13">
        <f t="shared" si="3"/>
        <v>47.010637094172637</v>
      </c>
      <c r="U4" s="13">
        <f t="shared" si="4"/>
        <v>30.265491900843113</v>
      </c>
      <c r="V4" s="13">
        <f t="shared" si="5"/>
        <v>17.464249196572979</v>
      </c>
      <c r="W4" s="13">
        <f t="shared" si="6"/>
        <v>30</v>
      </c>
      <c r="X4" s="13">
        <f t="shared" si="7"/>
        <v>48.836461788299118</v>
      </c>
      <c r="Y4" s="13">
        <f t="shared" si="8"/>
        <v>52.354560450833695</v>
      </c>
      <c r="Z4">
        <f t="shared" ref="Z4:Z20" si="10">SQRT((($C4-$C$12)^2)+(($D4-$D$12)^2))</f>
        <v>103.4842983258813</v>
      </c>
      <c r="AA4">
        <f t="shared" ref="AA4:AA20" si="11">SQRT((($C4-$C$13)^2)+(($D4-$D$13)^2))</f>
        <v>83.600239234107462</v>
      </c>
      <c r="AB4">
        <f t="shared" ref="AB4:AB20" si="12">SQRT((($C4-$C$14)^2)+(($D4-$D$14)^2))</f>
        <v>94.201910808645493</v>
      </c>
      <c r="AC4">
        <f t="shared" ref="AC4:AC20" si="13">SQRT((($C4-$C$15)^2)+(($D4-$D$15)^2))</f>
        <v>72.249567472753768</v>
      </c>
      <c r="AD4">
        <f t="shared" ref="AD4:AD20" si="14">SQRT((($C4-$C$16)^2)+(($D4-$D$16)^2))</f>
        <v>137.13132391981054</v>
      </c>
      <c r="AE4">
        <f t="shared" ref="AE4:AE20" si="15">SQRT((($C4-$C$17)^2)+(($D4-$D$17)^2))</f>
        <v>141.50971698084905</v>
      </c>
      <c r="AF4">
        <f t="shared" ref="AF4:AF20" si="16">SQRT((($C4-$C$18)^2)+(($D4-$D$18)^2))</f>
        <v>130.75167302944922</v>
      </c>
      <c r="AG4">
        <f t="shared" ref="AG4:AG20" si="17">SQRT((($C4-$C$19)^2)+(($D4-$D$19)^2))</f>
        <v>157.71493271088823</v>
      </c>
      <c r="AH4">
        <f t="shared" si="9"/>
        <v>163.51052114685481</v>
      </c>
    </row>
    <row r="5" spans="1:34">
      <c r="A5" s="42"/>
      <c r="B5" s="45">
        <v>2</v>
      </c>
      <c r="C5">
        <f>Rand!V4</f>
        <v>582677</v>
      </c>
      <c r="D5">
        <f>Rand!W4</f>
        <v>600948</v>
      </c>
      <c r="P5" s="45">
        <v>2</v>
      </c>
      <c r="Q5">
        <f t="shared" si="0"/>
        <v>47.579274964186446</v>
      </c>
      <c r="R5" s="13">
        <f t="shared" si="1"/>
        <v>22.803508501982758</v>
      </c>
      <c r="S5" s="13">
        <f t="shared" si="2"/>
        <v>0</v>
      </c>
      <c r="T5" s="13">
        <f t="shared" si="3"/>
        <v>31.780497164141408</v>
      </c>
      <c r="U5" s="13">
        <f t="shared" si="4"/>
        <v>12.806248474865697</v>
      </c>
      <c r="V5" s="13">
        <f t="shared" si="5"/>
        <v>34.713109915419565</v>
      </c>
      <c r="W5" s="13">
        <f t="shared" si="6"/>
        <v>30.265491900843113</v>
      </c>
      <c r="X5" s="13">
        <f t="shared" si="7"/>
        <v>62.265560304232388</v>
      </c>
      <c r="Y5" s="13">
        <f t="shared" si="8"/>
        <v>52.086466572421671</v>
      </c>
      <c r="Z5">
        <f t="shared" si="10"/>
        <v>109.65856099730654</v>
      </c>
      <c r="AA5">
        <f t="shared" si="11"/>
        <v>94.578010129204984</v>
      </c>
      <c r="AB5">
        <f t="shared" si="12"/>
        <v>99.247166206396045</v>
      </c>
      <c r="AC5">
        <f t="shared" si="13"/>
        <v>79.624116949577527</v>
      </c>
      <c r="AD5">
        <f t="shared" si="14"/>
        <v>145.71547618561317</v>
      </c>
      <c r="AE5">
        <f t="shared" si="15"/>
        <v>150.88074761214565</v>
      </c>
      <c r="AF5">
        <f t="shared" si="16"/>
        <v>136.23509092741122</v>
      </c>
      <c r="AG5">
        <f t="shared" si="17"/>
        <v>163.1502375113196</v>
      </c>
      <c r="AH5">
        <f t="shared" si="9"/>
        <v>173.65720671977525</v>
      </c>
    </row>
    <row r="6" spans="1:34">
      <c r="A6" s="42"/>
      <c r="B6" s="45">
        <v>3</v>
      </c>
      <c r="C6">
        <f>Rand!V3</f>
        <v>582646</v>
      </c>
      <c r="D6">
        <f>Rand!W3</f>
        <v>600955</v>
      </c>
      <c r="P6" s="45">
        <v>3</v>
      </c>
      <c r="Q6">
        <f t="shared" si="0"/>
        <v>40.313253231670721</v>
      </c>
      <c r="R6" s="13">
        <f t="shared" si="1"/>
        <v>47.010637094172637</v>
      </c>
      <c r="S6" s="13">
        <f t="shared" si="2"/>
        <v>31.780497164141408</v>
      </c>
      <c r="T6" s="13">
        <f t="shared" si="3"/>
        <v>0</v>
      </c>
      <c r="U6" s="13">
        <f t="shared" si="4"/>
        <v>41.012193308819754</v>
      </c>
      <c r="V6" s="13">
        <f t="shared" si="5"/>
        <v>63.28506932918696</v>
      </c>
      <c r="W6" s="13">
        <f t="shared" si="6"/>
        <v>61.98386886924694</v>
      </c>
      <c r="X6" s="13">
        <f t="shared" si="7"/>
        <v>93.107464792034804</v>
      </c>
      <c r="Y6" s="13">
        <f t="shared" si="8"/>
        <v>83.096329642168911</v>
      </c>
      <c r="Z6">
        <f t="shared" si="10"/>
        <v>141.2834031300209</v>
      </c>
      <c r="AA6">
        <f t="shared" si="11"/>
        <v>126.17844506887855</v>
      </c>
      <c r="AB6">
        <f t="shared" si="12"/>
        <v>130.75167302944922</v>
      </c>
      <c r="AC6">
        <f t="shared" si="13"/>
        <v>111.40017953306898</v>
      </c>
      <c r="AD6">
        <f t="shared" si="14"/>
        <v>177.48521065147935</v>
      </c>
      <c r="AE6">
        <f t="shared" si="15"/>
        <v>182.6608879864543</v>
      </c>
      <c r="AF6">
        <f t="shared" si="16"/>
        <v>167.67229944149989</v>
      </c>
      <c r="AG6">
        <f t="shared" si="17"/>
        <v>194.50449866262733</v>
      </c>
      <c r="AH6">
        <f t="shared" si="9"/>
        <v>205.42350173656564</v>
      </c>
    </row>
    <row r="7" spans="1:34">
      <c r="A7" s="42"/>
      <c r="B7" s="45">
        <v>4</v>
      </c>
      <c r="C7">
        <f>Rand!V2</f>
        <v>582687</v>
      </c>
      <c r="D7">
        <f>Rand!W2</f>
        <v>600956</v>
      </c>
      <c r="P7" s="45">
        <v>4</v>
      </c>
      <c r="Q7">
        <f t="shared" si="0"/>
        <v>60.337672196701448</v>
      </c>
      <c r="R7" s="13">
        <f t="shared" si="1"/>
        <v>30.265491900843113</v>
      </c>
      <c r="S7" s="13">
        <f t="shared" si="2"/>
        <v>12.806248474865697</v>
      </c>
      <c r="T7" s="13">
        <f t="shared" si="3"/>
        <v>41.012193308819754</v>
      </c>
      <c r="U7" s="13">
        <f t="shared" si="4"/>
        <v>0</v>
      </c>
      <c r="V7" s="13">
        <f t="shared" si="5"/>
        <v>36.400549446402593</v>
      </c>
      <c r="W7" s="13">
        <f t="shared" si="6"/>
        <v>23.323807579381203</v>
      </c>
      <c r="X7" s="13">
        <f t="shared" si="7"/>
        <v>58.796258384356399</v>
      </c>
      <c r="Y7" s="13">
        <f t="shared" si="8"/>
        <v>42.296571965113202</v>
      </c>
      <c r="Z7">
        <f t="shared" si="10"/>
        <v>101</v>
      </c>
      <c r="AA7">
        <f t="shared" si="11"/>
        <v>88.549421229051518</v>
      </c>
      <c r="AB7">
        <f t="shared" si="12"/>
        <v>90.255193756370602</v>
      </c>
      <c r="AC7">
        <f t="shared" si="13"/>
        <v>72.111025509279784</v>
      </c>
      <c r="AD7">
        <f t="shared" si="14"/>
        <v>137.78606605894515</v>
      </c>
      <c r="AE7">
        <f t="shared" si="15"/>
        <v>143.29340529138108</v>
      </c>
      <c r="AF7">
        <f t="shared" si="16"/>
        <v>127.01181047445942</v>
      </c>
      <c r="AG7">
        <f t="shared" si="17"/>
        <v>153.73353570382747</v>
      </c>
      <c r="AH7">
        <f t="shared" si="9"/>
        <v>166.31124798315636</v>
      </c>
    </row>
    <row r="8" spans="1:34">
      <c r="A8" s="42"/>
      <c r="B8" s="45">
        <v>5</v>
      </c>
      <c r="C8">
        <f>Rand!V8</f>
        <v>582700</v>
      </c>
      <c r="D8">
        <f>Rand!W8</f>
        <v>600922</v>
      </c>
      <c r="P8" s="45">
        <v>5</v>
      </c>
      <c r="Q8">
        <f t="shared" si="0"/>
        <v>57.538042772720488</v>
      </c>
      <c r="R8" s="13">
        <f t="shared" si="1"/>
        <v>17.464249196572979</v>
      </c>
      <c r="S8" s="13">
        <f t="shared" si="2"/>
        <v>34.713109915419565</v>
      </c>
      <c r="T8" s="13">
        <f t="shared" si="3"/>
        <v>63.28506932918696</v>
      </c>
      <c r="U8" s="13">
        <f t="shared" si="4"/>
        <v>36.400549446402593</v>
      </c>
      <c r="V8" s="13">
        <f t="shared" si="5"/>
        <v>0</v>
      </c>
      <c r="W8" s="13">
        <f t="shared" si="6"/>
        <v>23.086792761230392</v>
      </c>
      <c r="X8" s="13">
        <f t="shared" si="7"/>
        <v>31.400636936215164</v>
      </c>
      <c r="Y8" s="13">
        <f t="shared" si="8"/>
        <v>41.012193308819754</v>
      </c>
      <c r="Z8">
        <f t="shared" si="10"/>
        <v>87.13208364316786</v>
      </c>
      <c r="AA8">
        <f t="shared" si="11"/>
        <v>66.272166103123567</v>
      </c>
      <c r="AB8">
        <f t="shared" si="12"/>
        <v>78.339006886735547</v>
      </c>
      <c r="AC8">
        <f t="shared" si="13"/>
        <v>55.901699437494742</v>
      </c>
      <c r="AD8">
        <f t="shared" si="14"/>
        <v>120.01666550941998</v>
      </c>
      <c r="AE8">
        <f t="shared" si="15"/>
        <v>124.25779653607253</v>
      </c>
      <c r="AF8">
        <f t="shared" si="16"/>
        <v>114.42464769445436</v>
      </c>
      <c r="AG8">
        <f t="shared" si="17"/>
        <v>141.2834031300209</v>
      </c>
      <c r="AH8">
        <f t="shared" si="9"/>
        <v>146.13959451742411</v>
      </c>
    </row>
    <row r="9" spans="1:34">
      <c r="A9" s="42"/>
      <c r="B9" s="45">
        <v>6</v>
      </c>
      <c r="C9">
        <f>Rand!V6</f>
        <v>582707</v>
      </c>
      <c r="D9">
        <f>Rand!W6</f>
        <v>600944</v>
      </c>
      <c r="P9" s="45">
        <v>6</v>
      </c>
      <c r="Q9">
        <f t="shared" si="0"/>
        <v>70.423101082773954</v>
      </c>
      <c r="R9" s="13">
        <f t="shared" si="1"/>
        <v>30</v>
      </c>
      <c r="S9" s="13">
        <f t="shared" si="2"/>
        <v>30.265491900843113</v>
      </c>
      <c r="T9" s="13">
        <f t="shared" si="3"/>
        <v>61.98386886924694</v>
      </c>
      <c r="U9" s="13">
        <f t="shared" si="4"/>
        <v>23.323807579381203</v>
      </c>
      <c r="V9" s="13">
        <f t="shared" si="5"/>
        <v>23.086792761230392</v>
      </c>
      <c r="W9" s="13">
        <f t="shared" si="6"/>
        <v>0</v>
      </c>
      <c r="X9" s="13">
        <f t="shared" si="7"/>
        <v>36.124783736376884</v>
      </c>
      <c r="Y9" s="13">
        <f t="shared" si="8"/>
        <v>23.086792761230392</v>
      </c>
      <c r="Z9">
        <f t="shared" si="10"/>
        <v>79.404030124421269</v>
      </c>
      <c r="AA9">
        <f t="shared" si="11"/>
        <v>65.30696746902278</v>
      </c>
      <c r="AB9">
        <f t="shared" si="12"/>
        <v>69.06518659932803</v>
      </c>
      <c r="AC9">
        <f t="shared" si="13"/>
        <v>49.477267507411923</v>
      </c>
      <c r="AD9">
        <f t="shared" si="14"/>
        <v>115.52056094046635</v>
      </c>
      <c r="AE9">
        <f t="shared" si="15"/>
        <v>120.78493283518438</v>
      </c>
      <c r="AF9">
        <f t="shared" si="16"/>
        <v>106.07544484940895</v>
      </c>
      <c r="AG9">
        <f t="shared" si="17"/>
        <v>133.0338302838793</v>
      </c>
      <c r="AH9">
        <f t="shared" si="9"/>
        <v>143.66410743716239</v>
      </c>
    </row>
    <row r="10" spans="1:34">
      <c r="A10" s="42"/>
      <c r="B10" s="45">
        <v>7</v>
      </c>
      <c r="C10">
        <f>Rand!V7</f>
        <v>582731</v>
      </c>
      <c r="D10">
        <f>Rand!W7</f>
        <v>600917</v>
      </c>
      <c r="P10" s="45">
        <v>7</v>
      </c>
      <c r="Q10">
        <f t="shared" si="0"/>
        <v>88.113762296886705</v>
      </c>
      <c r="R10" s="13">
        <f t="shared" si="1"/>
        <v>48.836461788299118</v>
      </c>
      <c r="S10" s="13">
        <f t="shared" si="2"/>
        <v>62.265560304232388</v>
      </c>
      <c r="T10" s="13">
        <f t="shared" si="3"/>
        <v>93.107464792034804</v>
      </c>
      <c r="U10" s="13">
        <f t="shared" si="4"/>
        <v>58.796258384356399</v>
      </c>
      <c r="V10" s="13">
        <f t="shared" si="5"/>
        <v>31.400636936215164</v>
      </c>
      <c r="W10" s="13">
        <f t="shared" si="6"/>
        <v>36.124783736376884</v>
      </c>
      <c r="X10" s="13">
        <f t="shared" si="7"/>
        <v>0</v>
      </c>
      <c r="Y10" s="13">
        <f t="shared" si="8"/>
        <v>34.058772731852805</v>
      </c>
      <c r="Z10">
        <f t="shared" si="10"/>
        <v>58.189346103904619</v>
      </c>
      <c r="AA10">
        <f t="shared" si="11"/>
        <v>35.014282800023196</v>
      </c>
      <c r="AB10">
        <f t="shared" si="12"/>
        <v>51</v>
      </c>
      <c r="AC10">
        <f t="shared" si="13"/>
        <v>28.301943396169811</v>
      </c>
      <c r="AD10">
        <f t="shared" si="14"/>
        <v>89.050547443572739</v>
      </c>
      <c r="AE10">
        <f t="shared" si="15"/>
        <v>93.048374515624943</v>
      </c>
      <c r="AF10">
        <f t="shared" si="16"/>
        <v>85.164546614186818</v>
      </c>
      <c r="AG10">
        <f t="shared" si="17"/>
        <v>111.61093136427094</v>
      </c>
      <c r="AH10">
        <f t="shared" si="9"/>
        <v>114.76819727485061</v>
      </c>
    </row>
    <row r="11" spans="1:34">
      <c r="A11" s="42"/>
      <c r="B11" s="45">
        <v>8</v>
      </c>
      <c r="C11">
        <f>Rand!V9</f>
        <v>582729</v>
      </c>
      <c r="D11">
        <f>Rand!W9</f>
        <v>600951</v>
      </c>
      <c r="P11" s="45">
        <v>8</v>
      </c>
      <c r="Q11">
        <f t="shared" si="0"/>
        <v>93.385998233741176</v>
      </c>
      <c r="R11" s="13">
        <f t="shared" si="1"/>
        <v>52.354560450833695</v>
      </c>
      <c r="S11" s="13">
        <f t="shared" si="2"/>
        <v>52.086466572421671</v>
      </c>
      <c r="T11" s="13">
        <f t="shared" si="3"/>
        <v>83.096329642168911</v>
      </c>
      <c r="U11" s="13">
        <f t="shared" si="4"/>
        <v>42.296571965113202</v>
      </c>
      <c r="V11" s="13">
        <f t="shared" si="5"/>
        <v>41.012193308819754</v>
      </c>
      <c r="W11" s="13">
        <f t="shared" si="6"/>
        <v>23.086792761230392</v>
      </c>
      <c r="X11" s="13">
        <f t="shared" si="7"/>
        <v>34.058772731852805</v>
      </c>
      <c r="Y11" s="13">
        <f t="shared" si="8"/>
        <v>0</v>
      </c>
      <c r="Z11">
        <f t="shared" si="10"/>
        <v>58.940648113165501</v>
      </c>
      <c r="AA11">
        <f t="shared" si="11"/>
        <v>50.931326312987373</v>
      </c>
      <c r="AB11">
        <f t="shared" si="12"/>
        <v>48.052055106935853</v>
      </c>
      <c r="AC11">
        <f t="shared" si="13"/>
        <v>32.202484376209235</v>
      </c>
      <c r="AD11">
        <f t="shared" si="14"/>
        <v>96.135321292436529</v>
      </c>
      <c r="AE11">
        <f t="shared" si="15"/>
        <v>101.95096860746347</v>
      </c>
      <c r="AF11">
        <f t="shared" si="16"/>
        <v>84.717176534631989</v>
      </c>
      <c r="AG11">
        <f t="shared" si="17"/>
        <v>111.44954015158609</v>
      </c>
      <c r="AH11">
        <f t="shared" si="9"/>
        <v>125.11628968970192</v>
      </c>
    </row>
    <row r="12" spans="1:34">
      <c r="B12" s="45">
        <v>9</v>
      </c>
      <c r="C12">
        <f>Rand!V10</f>
        <v>582786</v>
      </c>
      <c r="D12">
        <f>Rand!W10</f>
        <v>600936</v>
      </c>
      <c r="P12" s="45">
        <v>9</v>
      </c>
      <c r="Q12">
        <f t="shared" si="0"/>
        <v>144.64767072478745</v>
      </c>
      <c r="R12">
        <f t="shared" si="1"/>
        <v>103.4842983258813</v>
      </c>
      <c r="S12">
        <f t="shared" si="2"/>
        <v>109.65856099730654</v>
      </c>
      <c r="T12">
        <f t="shared" si="3"/>
        <v>141.2834031300209</v>
      </c>
      <c r="U12">
        <f t="shared" si="4"/>
        <v>101</v>
      </c>
      <c r="V12">
        <f t="shared" si="5"/>
        <v>87.13208364316786</v>
      </c>
      <c r="W12">
        <f t="shared" si="6"/>
        <v>79.404030124421269</v>
      </c>
      <c r="X12">
        <f t="shared" si="7"/>
        <v>58.189346103904619</v>
      </c>
      <c r="Y12">
        <f t="shared" si="8"/>
        <v>58.940648113165501</v>
      </c>
      <c r="Z12">
        <f t="shared" si="10"/>
        <v>0</v>
      </c>
      <c r="AA12">
        <f t="shared" si="11"/>
        <v>28.284271247461902</v>
      </c>
      <c r="AB12">
        <f t="shared" si="12"/>
        <v>11.180339887498949</v>
      </c>
      <c r="AC12">
        <f t="shared" si="13"/>
        <v>31.256999216175569</v>
      </c>
      <c r="AD12">
        <f t="shared" si="14"/>
        <v>37.576588456111871</v>
      </c>
      <c r="AE12">
        <f t="shared" si="15"/>
        <v>43.908996800200299</v>
      </c>
      <c r="AF12">
        <f t="shared" si="16"/>
        <v>27.294688127912362</v>
      </c>
      <c r="AG12">
        <f t="shared" si="17"/>
        <v>54.230987451824994</v>
      </c>
      <c r="AH12">
        <f t="shared" si="9"/>
        <v>67.046441260674882</v>
      </c>
    </row>
    <row r="13" spans="1:34">
      <c r="B13" s="45">
        <v>10</v>
      </c>
      <c r="C13">
        <f>Rand!V11</f>
        <v>582766</v>
      </c>
      <c r="D13">
        <f>Rand!W11</f>
        <v>600916</v>
      </c>
      <c r="P13" s="45">
        <v>10</v>
      </c>
      <c r="Q13">
        <f t="shared" si="0"/>
        <v>123.09222008765894</v>
      </c>
      <c r="R13" s="13">
        <f t="shared" si="1"/>
        <v>83.600239234107462</v>
      </c>
      <c r="S13" s="13">
        <f t="shared" si="2"/>
        <v>94.578010129204984</v>
      </c>
      <c r="T13" s="13">
        <f t="shared" si="3"/>
        <v>126.17844506887855</v>
      </c>
      <c r="U13" s="13">
        <f t="shared" si="4"/>
        <v>88.549421229051518</v>
      </c>
      <c r="V13" s="13">
        <f t="shared" si="5"/>
        <v>66.272166103123567</v>
      </c>
      <c r="W13" s="13">
        <f t="shared" si="6"/>
        <v>65.30696746902278</v>
      </c>
      <c r="X13" s="13">
        <f t="shared" si="7"/>
        <v>35.014282800023196</v>
      </c>
      <c r="Y13" s="13">
        <f t="shared" si="8"/>
        <v>50.931326312987373</v>
      </c>
      <c r="Z13">
        <f t="shared" si="10"/>
        <v>28.284271247461902</v>
      </c>
      <c r="AA13">
        <f t="shared" si="11"/>
        <v>0</v>
      </c>
      <c r="AB13">
        <f t="shared" si="12"/>
        <v>26.92582403567252</v>
      </c>
      <c r="AC13">
        <f t="shared" si="13"/>
        <v>19.416487838947599</v>
      </c>
      <c r="AD13">
        <f t="shared" si="14"/>
        <v>54.147945482723536</v>
      </c>
      <c r="AE13">
        <f t="shared" si="15"/>
        <v>58.034472514187634</v>
      </c>
      <c r="AF13">
        <f t="shared" si="16"/>
        <v>52.773099207835045</v>
      </c>
      <c r="AG13">
        <f t="shared" si="17"/>
        <v>78.108898340714035</v>
      </c>
      <c r="AH13">
        <f t="shared" si="9"/>
        <v>79.925706038301243</v>
      </c>
    </row>
    <row r="14" spans="1:34">
      <c r="B14" s="45">
        <v>11</v>
      </c>
      <c r="C14">
        <f>Rand!V13</f>
        <v>582776</v>
      </c>
      <c r="D14">
        <f>Rand!W13</f>
        <v>600941</v>
      </c>
      <c r="P14" s="45">
        <v>11</v>
      </c>
      <c r="Q14">
        <f t="shared" si="0"/>
        <v>135.63985235212965</v>
      </c>
      <c r="R14" s="13">
        <f t="shared" si="1"/>
        <v>94.201910808645493</v>
      </c>
      <c r="S14" s="13">
        <f t="shared" si="2"/>
        <v>99.247166206396045</v>
      </c>
      <c r="T14" s="13">
        <f t="shared" si="3"/>
        <v>130.75167302944922</v>
      </c>
      <c r="U14" s="13">
        <f t="shared" si="4"/>
        <v>90.255193756370602</v>
      </c>
      <c r="V14" s="13">
        <f t="shared" si="5"/>
        <v>78.339006886735547</v>
      </c>
      <c r="W14" s="13">
        <f t="shared" si="6"/>
        <v>69.06518659932803</v>
      </c>
      <c r="X14" s="13">
        <f t="shared" si="7"/>
        <v>51</v>
      </c>
      <c r="Y14" s="13">
        <f t="shared" si="8"/>
        <v>48.052055106935853</v>
      </c>
      <c r="Z14">
        <f t="shared" si="10"/>
        <v>11.180339887498949</v>
      </c>
      <c r="AA14">
        <f t="shared" si="11"/>
        <v>26.92582403567252</v>
      </c>
      <c r="AB14">
        <f t="shared" si="12"/>
        <v>0</v>
      </c>
      <c r="AC14">
        <f t="shared" si="13"/>
        <v>22.847319317591726</v>
      </c>
      <c r="AD14">
        <f t="shared" si="14"/>
        <v>48.754486972995622</v>
      </c>
      <c r="AE14">
        <f t="shared" si="15"/>
        <v>55.072679252057455</v>
      </c>
      <c r="AF14">
        <f t="shared" si="16"/>
        <v>37.013511046643494</v>
      </c>
      <c r="AG14">
        <f t="shared" si="17"/>
        <v>64</v>
      </c>
      <c r="AH14">
        <f t="shared" si="9"/>
        <v>78.222625791521267</v>
      </c>
    </row>
    <row r="15" spans="1:34">
      <c r="B15" s="45">
        <v>12</v>
      </c>
      <c r="C15">
        <f>Rand!V12</f>
        <v>582755</v>
      </c>
      <c r="D15">
        <f>Rand!W12</f>
        <v>600932</v>
      </c>
      <c r="P15" s="45">
        <v>12</v>
      </c>
      <c r="Q15">
        <f t="shared" si="0"/>
        <v>113.39766825693431</v>
      </c>
      <c r="R15" s="13">
        <f t="shared" si="1"/>
        <v>72.249567472753768</v>
      </c>
      <c r="S15" s="13">
        <f t="shared" si="2"/>
        <v>79.624116949577527</v>
      </c>
      <c r="T15" s="13">
        <f t="shared" si="3"/>
        <v>111.40017953306898</v>
      </c>
      <c r="U15" s="13">
        <f t="shared" si="4"/>
        <v>72.111025509279784</v>
      </c>
      <c r="V15" s="13">
        <f t="shared" si="5"/>
        <v>55.901699437494742</v>
      </c>
      <c r="W15" s="13">
        <f t="shared" si="6"/>
        <v>49.477267507411923</v>
      </c>
      <c r="X15" s="13">
        <f t="shared" si="7"/>
        <v>28.301943396169811</v>
      </c>
      <c r="Y15" s="13">
        <f t="shared" si="8"/>
        <v>32.202484376209235</v>
      </c>
      <c r="Z15">
        <f t="shared" si="10"/>
        <v>31.256999216175569</v>
      </c>
      <c r="AA15">
        <f t="shared" si="11"/>
        <v>19.416487838947599</v>
      </c>
      <c r="AB15">
        <f t="shared" si="12"/>
        <v>22.847319317591726</v>
      </c>
      <c r="AC15">
        <f t="shared" si="13"/>
        <v>0</v>
      </c>
      <c r="AD15">
        <f t="shared" si="14"/>
        <v>66.098411478642959</v>
      </c>
      <c r="AE15">
        <f t="shared" si="15"/>
        <v>71.309185944028272</v>
      </c>
      <c r="AF15">
        <f t="shared" si="16"/>
        <v>58.54912467321779</v>
      </c>
      <c r="AG15">
        <f t="shared" si="17"/>
        <v>85.475142585432408</v>
      </c>
      <c r="AH15">
        <f t="shared" si="9"/>
        <v>94.233767226613864</v>
      </c>
    </row>
    <row r="16" spans="1:34">
      <c r="B16" s="45">
        <v>13</v>
      </c>
      <c r="C16">
        <f>Rand!V16</f>
        <v>582820</v>
      </c>
      <c r="D16">
        <f>Rand!W16</f>
        <v>600920</v>
      </c>
      <c r="P16" s="45">
        <v>13</v>
      </c>
      <c r="Q16">
        <f t="shared" si="0"/>
        <v>177.16260171408385</v>
      </c>
      <c r="R16" s="13">
        <f t="shared" si="1"/>
        <v>137.13132391981054</v>
      </c>
      <c r="S16" s="13">
        <f t="shared" si="2"/>
        <v>145.71547618561317</v>
      </c>
      <c r="T16" s="13">
        <f t="shared" si="3"/>
        <v>177.48521065147935</v>
      </c>
      <c r="U16" s="13">
        <f t="shared" si="4"/>
        <v>137.78606605894515</v>
      </c>
      <c r="V16" s="13">
        <f t="shared" si="5"/>
        <v>120.01666550941998</v>
      </c>
      <c r="W16" s="13">
        <f t="shared" si="6"/>
        <v>115.52056094046635</v>
      </c>
      <c r="X16" s="13">
        <f t="shared" si="7"/>
        <v>89.050547443572739</v>
      </c>
      <c r="Y16" s="13">
        <f t="shared" si="8"/>
        <v>96.135321292436529</v>
      </c>
      <c r="Z16">
        <f t="shared" si="10"/>
        <v>37.576588456111871</v>
      </c>
      <c r="AA16">
        <f t="shared" si="11"/>
        <v>54.147945482723536</v>
      </c>
      <c r="AB16">
        <f t="shared" si="12"/>
        <v>48.754486972995622</v>
      </c>
      <c r="AC16">
        <f t="shared" si="13"/>
        <v>66.098411478642959</v>
      </c>
      <c r="AD16">
        <f t="shared" si="14"/>
        <v>0</v>
      </c>
      <c r="AE16">
        <f t="shared" si="15"/>
        <v>7.2111025509279782</v>
      </c>
      <c r="AF16">
        <f t="shared" si="16"/>
        <v>21.189620100417091</v>
      </c>
      <c r="AG16">
        <f t="shared" si="17"/>
        <v>29</v>
      </c>
      <c r="AH16">
        <f t="shared" si="9"/>
        <v>29.590806777167444</v>
      </c>
    </row>
    <row r="17" spans="1:34">
      <c r="B17" s="45">
        <v>14</v>
      </c>
      <c r="C17">
        <f>Rand!V14</f>
        <v>582824</v>
      </c>
      <c r="D17">
        <f>Rand!W14</f>
        <v>600914</v>
      </c>
      <c r="P17" s="45">
        <v>14</v>
      </c>
      <c r="Q17">
        <f t="shared" si="0"/>
        <v>181.08820957230409</v>
      </c>
      <c r="R17" s="13">
        <f t="shared" si="1"/>
        <v>141.50971698084905</v>
      </c>
      <c r="S17" s="13">
        <f t="shared" si="2"/>
        <v>150.88074761214565</v>
      </c>
      <c r="T17" s="13">
        <f t="shared" si="3"/>
        <v>182.6608879864543</v>
      </c>
      <c r="U17" s="13">
        <f t="shared" si="4"/>
        <v>143.29340529138108</v>
      </c>
      <c r="V17" s="13">
        <f t="shared" si="5"/>
        <v>124.25779653607253</v>
      </c>
      <c r="W17" s="13">
        <f t="shared" si="6"/>
        <v>120.78493283518438</v>
      </c>
      <c r="X17" s="13">
        <f t="shared" si="7"/>
        <v>93.048374515624943</v>
      </c>
      <c r="Y17" s="13">
        <f t="shared" si="8"/>
        <v>101.95096860746347</v>
      </c>
      <c r="Z17">
        <f t="shared" si="10"/>
        <v>43.908996800200299</v>
      </c>
      <c r="AA17">
        <f t="shared" si="11"/>
        <v>58.034472514187634</v>
      </c>
      <c r="AB17">
        <f t="shared" si="12"/>
        <v>55.072679252057455</v>
      </c>
      <c r="AC17">
        <f t="shared" si="13"/>
        <v>71.309185944028272</v>
      </c>
      <c r="AD17">
        <f t="shared" si="14"/>
        <v>7.2111025509279782</v>
      </c>
      <c r="AE17">
        <f t="shared" si="15"/>
        <v>0</v>
      </c>
      <c r="AF17">
        <f t="shared" si="16"/>
        <v>28.231188426986208</v>
      </c>
      <c r="AG17">
        <f t="shared" si="17"/>
        <v>31.384709652950431</v>
      </c>
      <c r="AH17">
        <f t="shared" si="9"/>
        <v>23.201271640238588</v>
      </c>
    </row>
    <row r="18" spans="1:34">
      <c r="B18" s="45">
        <v>15</v>
      </c>
      <c r="C18">
        <f>Rand!V15</f>
        <v>582813</v>
      </c>
      <c r="D18">
        <f>Rand!W15</f>
        <v>600940</v>
      </c>
      <c r="P18" s="45">
        <v>15</v>
      </c>
      <c r="Q18">
        <f t="shared" si="0"/>
        <v>171.94235884767821</v>
      </c>
      <c r="R18" s="13">
        <f t="shared" si="1"/>
        <v>130.75167302944922</v>
      </c>
      <c r="S18" s="13">
        <f t="shared" si="2"/>
        <v>136.23509092741122</v>
      </c>
      <c r="T18" s="13">
        <f t="shared" si="3"/>
        <v>167.67229944149989</v>
      </c>
      <c r="U18" s="13">
        <f t="shared" si="4"/>
        <v>127.01181047445942</v>
      </c>
      <c r="V18" s="13">
        <f t="shared" si="5"/>
        <v>114.42464769445436</v>
      </c>
      <c r="W18" s="13">
        <f t="shared" si="6"/>
        <v>106.07544484940895</v>
      </c>
      <c r="X18" s="13">
        <f t="shared" si="7"/>
        <v>85.164546614186818</v>
      </c>
      <c r="Y18" s="13">
        <f t="shared" si="8"/>
        <v>84.717176534631989</v>
      </c>
      <c r="Z18">
        <f t="shared" si="10"/>
        <v>27.294688127912362</v>
      </c>
      <c r="AA18">
        <f t="shared" si="11"/>
        <v>52.773099207835045</v>
      </c>
      <c r="AB18">
        <f t="shared" si="12"/>
        <v>37.013511046643494</v>
      </c>
      <c r="AC18">
        <f t="shared" si="13"/>
        <v>58.54912467321779</v>
      </c>
      <c r="AD18">
        <f t="shared" si="14"/>
        <v>21.189620100417091</v>
      </c>
      <c r="AE18">
        <f t="shared" si="15"/>
        <v>28.231188426986208</v>
      </c>
      <c r="AF18">
        <f t="shared" si="16"/>
        <v>0</v>
      </c>
      <c r="AG18">
        <f t="shared" si="17"/>
        <v>27.018512172212592</v>
      </c>
      <c r="AH18">
        <f t="shared" si="9"/>
        <v>48.009599099788325</v>
      </c>
    </row>
    <row r="19" spans="1:34">
      <c r="B19" s="45">
        <v>16</v>
      </c>
      <c r="C19">
        <f>Rand!V17</f>
        <v>582840</v>
      </c>
      <c r="D19">
        <f>Rand!W17</f>
        <v>600941</v>
      </c>
      <c r="P19" s="45">
        <v>16</v>
      </c>
      <c r="Q19">
        <f t="shared" si="0"/>
        <v>198.81959487460227</v>
      </c>
      <c r="R19" s="13">
        <f t="shared" si="1"/>
        <v>157.71493271088823</v>
      </c>
      <c r="S19" s="13">
        <f t="shared" si="2"/>
        <v>163.1502375113196</v>
      </c>
      <c r="T19" s="13">
        <f t="shared" si="3"/>
        <v>194.50449866262733</v>
      </c>
      <c r="U19" s="13">
        <f t="shared" si="4"/>
        <v>153.73353570382747</v>
      </c>
      <c r="V19" s="13">
        <f t="shared" si="5"/>
        <v>141.2834031300209</v>
      </c>
      <c r="W19" s="13">
        <f t="shared" si="6"/>
        <v>133.0338302838793</v>
      </c>
      <c r="X19" s="13">
        <f t="shared" si="7"/>
        <v>111.61093136427094</v>
      </c>
      <c r="Y19" s="13">
        <f t="shared" si="8"/>
        <v>111.44954015158609</v>
      </c>
      <c r="Z19">
        <f t="shared" si="10"/>
        <v>54.230987451824994</v>
      </c>
      <c r="AA19">
        <f t="shared" si="11"/>
        <v>78.108898340714035</v>
      </c>
      <c r="AB19">
        <f t="shared" si="12"/>
        <v>64</v>
      </c>
      <c r="AC19">
        <f t="shared" si="13"/>
        <v>85.475142585432408</v>
      </c>
      <c r="AD19">
        <f t="shared" si="14"/>
        <v>29</v>
      </c>
      <c r="AE19">
        <f t="shared" si="15"/>
        <v>31.384709652950431</v>
      </c>
      <c r="AF19">
        <f t="shared" si="16"/>
        <v>27.018512172212592</v>
      </c>
      <c r="AG19">
        <f t="shared" si="17"/>
        <v>0</v>
      </c>
      <c r="AH19">
        <f t="shared" si="9"/>
        <v>37.083641484134183</v>
      </c>
    </row>
    <row r="20" spans="1:34">
      <c r="B20" s="30" t="s">
        <v>46</v>
      </c>
      <c r="C20" s="30">
        <f>'Map Template'!U8</f>
        <v>582845.05923999997</v>
      </c>
      <c r="D20" s="30">
        <f>'Map Template'!V8</f>
        <v>600904.26309000002</v>
      </c>
      <c r="O20" s="33" t="s">
        <v>48</v>
      </c>
      <c r="P20" s="45">
        <v>17</v>
      </c>
      <c r="Q20">
        <f t="shared" si="0"/>
        <v>202.42035766968698</v>
      </c>
      <c r="R20">
        <f t="shared" si="1"/>
        <v>163.51052114685481</v>
      </c>
      <c r="S20">
        <f t="shared" si="2"/>
        <v>173.65720671977525</v>
      </c>
      <c r="T20">
        <f t="shared" si="3"/>
        <v>205.42350173656564</v>
      </c>
      <c r="U20">
        <f t="shared" si="4"/>
        <v>166.31124798315636</v>
      </c>
      <c r="V20">
        <f t="shared" si="5"/>
        <v>146.13959451742411</v>
      </c>
      <c r="W20">
        <f t="shared" si="6"/>
        <v>143.66410743716239</v>
      </c>
      <c r="X20">
        <f t="shared" si="7"/>
        <v>114.76819727485061</v>
      </c>
      <c r="Y20">
        <f t="shared" si="8"/>
        <v>125.11628968970192</v>
      </c>
      <c r="Z20">
        <f t="shared" si="10"/>
        <v>67.046441260674882</v>
      </c>
      <c r="AA20">
        <f t="shared" si="11"/>
        <v>79.925706038301243</v>
      </c>
      <c r="AB20">
        <f t="shared" si="12"/>
        <v>78.222625791521267</v>
      </c>
      <c r="AC20">
        <f t="shared" si="13"/>
        <v>94.233767226613864</v>
      </c>
      <c r="AD20">
        <f t="shared" si="14"/>
        <v>29.590806777167444</v>
      </c>
      <c r="AE20">
        <f t="shared" si="15"/>
        <v>23.201271640238588</v>
      </c>
      <c r="AF20">
        <f t="shared" si="16"/>
        <v>48.009599099788325</v>
      </c>
      <c r="AG20">
        <f t="shared" si="17"/>
        <v>37.083641484134183</v>
      </c>
      <c r="AH20">
        <f t="shared" si="9"/>
        <v>0</v>
      </c>
    </row>
    <row r="22" spans="1:34">
      <c r="Q22" s="43" t="s">
        <v>43</v>
      </c>
      <c r="R22" s="43"/>
    </row>
    <row r="23" spans="1:34">
      <c r="Q23" s="33" t="s">
        <v>47</v>
      </c>
      <c r="AH23" s="33" t="s">
        <v>48</v>
      </c>
    </row>
    <row r="24" spans="1:34">
      <c r="C24" t="s">
        <v>23</v>
      </c>
      <c r="D24" t="s">
        <v>24</v>
      </c>
      <c r="Q24" s="32">
        <v>1</v>
      </c>
      <c r="R24" s="45">
        <v>1</v>
      </c>
      <c r="S24" s="45">
        <v>2</v>
      </c>
      <c r="T24" s="45">
        <v>3</v>
      </c>
      <c r="U24" s="45">
        <v>4</v>
      </c>
      <c r="V24" s="45">
        <v>5</v>
      </c>
      <c r="W24" s="45">
        <v>6</v>
      </c>
      <c r="X24" s="45">
        <v>7</v>
      </c>
      <c r="Y24" s="45">
        <v>8</v>
      </c>
      <c r="Z24" s="45">
        <v>9</v>
      </c>
      <c r="AA24" s="45">
        <v>10</v>
      </c>
      <c r="AB24" s="45">
        <v>11</v>
      </c>
      <c r="AC24" s="45">
        <v>12</v>
      </c>
      <c r="AD24" s="45">
        <v>13</v>
      </c>
      <c r="AE24" s="45">
        <v>14</v>
      </c>
      <c r="AF24" s="45">
        <v>15</v>
      </c>
      <c r="AG24" s="45">
        <v>16</v>
      </c>
      <c r="AH24" s="32">
        <v>17</v>
      </c>
    </row>
    <row r="25" spans="1:34">
      <c r="B25">
        <v>1</v>
      </c>
      <c r="C25">
        <f>R26</f>
        <v>582683</v>
      </c>
      <c r="D25">
        <f>R27</f>
        <v>600926</v>
      </c>
      <c r="Q25">
        <f>SQRT((($R26-$C$3)^2)+(($R27-$D$3)^2))</f>
        <v>41.620277823641914</v>
      </c>
      <c r="R25">
        <f>INDEX($R$4:$AG$19,R24,S24)</f>
        <v>22.803508501982758</v>
      </c>
      <c r="S25">
        <f t="shared" ref="S25:AE25" si="18">INDEX($R$4:$AG$19,S24,T24)</f>
        <v>31.780497164141408</v>
      </c>
      <c r="T25">
        <f t="shared" si="18"/>
        <v>41.012193308819754</v>
      </c>
      <c r="U25">
        <f t="shared" si="18"/>
        <v>36.400549446402593</v>
      </c>
      <c r="V25">
        <f t="shared" si="18"/>
        <v>23.086792761230392</v>
      </c>
      <c r="W25">
        <f t="shared" si="18"/>
        <v>36.124783736376884</v>
      </c>
      <c r="X25">
        <f t="shared" si="18"/>
        <v>34.058772731852805</v>
      </c>
      <c r="Y25">
        <f t="shared" si="18"/>
        <v>58.940648113165501</v>
      </c>
      <c r="Z25">
        <f t="shared" si="18"/>
        <v>28.284271247461902</v>
      </c>
      <c r="AA25">
        <f t="shared" si="18"/>
        <v>26.92582403567252</v>
      </c>
      <c r="AB25">
        <f t="shared" si="18"/>
        <v>22.847319317591726</v>
      </c>
      <c r="AC25">
        <f t="shared" si="18"/>
        <v>66.098411478642959</v>
      </c>
      <c r="AD25">
        <f t="shared" si="18"/>
        <v>7.2111025509279782</v>
      </c>
      <c r="AE25">
        <f t="shared" si="18"/>
        <v>28.231188426986208</v>
      </c>
      <c r="AF25">
        <f>INDEX($R$4:$AG$19,AF24,AG24)</f>
        <v>27.018512172212592</v>
      </c>
      <c r="AG25">
        <f>INDEX($R$4:$AH$20,AG24,AH24)</f>
        <v>37.083641484134183</v>
      </c>
    </row>
    <row r="26" spans="1:34">
      <c r="B26">
        <v>2</v>
      </c>
      <c r="C26">
        <f>S26</f>
        <v>582677</v>
      </c>
      <c r="D26">
        <f>S27</f>
        <v>600948</v>
      </c>
      <c r="P26" s="44" t="s">
        <v>25</v>
      </c>
      <c r="Q26">
        <f>C3</f>
        <v>582642.91358000005</v>
      </c>
      <c r="R26">
        <f>VLOOKUP(R24,$B$4:$C$19,2,FALSE)</f>
        <v>582683</v>
      </c>
      <c r="S26">
        <f t="shared" ref="S26:AG26" si="19">VLOOKUP(S24,$B$4:$C$19,2,FALSE)</f>
        <v>582677</v>
      </c>
      <c r="T26">
        <f t="shared" si="19"/>
        <v>582646</v>
      </c>
      <c r="U26">
        <f t="shared" si="19"/>
        <v>582687</v>
      </c>
      <c r="V26">
        <f t="shared" si="19"/>
        <v>582700</v>
      </c>
      <c r="W26">
        <f t="shared" si="19"/>
        <v>582707</v>
      </c>
      <c r="X26">
        <f t="shared" si="19"/>
        <v>582731</v>
      </c>
      <c r="Y26">
        <f t="shared" si="19"/>
        <v>582729</v>
      </c>
      <c r="Z26">
        <f t="shared" si="19"/>
        <v>582786</v>
      </c>
      <c r="AA26">
        <f t="shared" si="19"/>
        <v>582766</v>
      </c>
      <c r="AB26">
        <f>VLOOKUP(AB24,$B$4:$C$19,2,FALSE)</f>
        <v>582776</v>
      </c>
      <c r="AC26">
        <f>VLOOKUP(AC24,$B$4:$C$19,2,FALSE)</f>
        <v>582755</v>
      </c>
      <c r="AD26">
        <f t="shared" si="19"/>
        <v>582820</v>
      </c>
      <c r="AE26">
        <f t="shared" si="19"/>
        <v>582824</v>
      </c>
      <c r="AF26">
        <f>VLOOKUP(AF24,$B$4:$C$19,2,FALSE)</f>
        <v>582813</v>
      </c>
      <c r="AG26">
        <f t="shared" si="19"/>
        <v>582840</v>
      </c>
      <c r="AH26">
        <f>C20</f>
        <v>582845.05923999997</v>
      </c>
    </row>
    <row r="27" spans="1:34" s="42" customFormat="1">
      <c r="A27"/>
      <c r="B27">
        <v>3</v>
      </c>
      <c r="C27">
        <f>T26</f>
        <v>582646</v>
      </c>
      <c r="D27">
        <f>T27</f>
        <v>600955</v>
      </c>
      <c r="P27" s="44" t="s">
        <v>26</v>
      </c>
      <c r="Q27">
        <f>D3</f>
        <v>600914.80507</v>
      </c>
      <c r="R27">
        <f>VLOOKUP(R24,$B$4:$D$19,3,FALSE)</f>
        <v>600926</v>
      </c>
      <c r="S27">
        <f t="shared" ref="S27:AG27" si="20">VLOOKUP(S24,$B$4:$D$19,3,FALSE)</f>
        <v>600948</v>
      </c>
      <c r="T27">
        <f t="shared" si="20"/>
        <v>600955</v>
      </c>
      <c r="U27">
        <f t="shared" si="20"/>
        <v>600956</v>
      </c>
      <c r="V27">
        <f t="shared" si="20"/>
        <v>600922</v>
      </c>
      <c r="W27">
        <f t="shared" si="20"/>
        <v>600944</v>
      </c>
      <c r="X27">
        <f t="shared" si="20"/>
        <v>600917</v>
      </c>
      <c r="Y27">
        <f t="shared" si="20"/>
        <v>600951</v>
      </c>
      <c r="Z27">
        <f t="shared" si="20"/>
        <v>600936</v>
      </c>
      <c r="AA27">
        <f t="shared" si="20"/>
        <v>600916</v>
      </c>
      <c r="AB27">
        <f t="shared" si="20"/>
        <v>600941</v>
      </c>
      <c r="AC27">
        <f>VLOOKUP(AC24,$B$4:$D$19,3,FALSE)</f>
        <v>600932</v>
      </c>
      <c r="AD27">
        <f t="shared" si="20"/>
        <v>600920</v>
      </c>
      <c r="AE27">
        <f t="shared" si="20"/>
        <v>600914</v>
      </c>
      <c r="AF27">
        <f t="shared" si="20"/>
        <v>600940</v>
      </c>
      <c r="AG27">
        <f t="shared" si="20"/>
        <v>600941</v>
      </c>
      <c r="AH27">
        <f>D20</f>
        <v>600904.26309000002</v>
      </c>
    </row>
    <row r="28" spans="1:34" s="42" customFormat="1">
      <c r="A28"/>
      <c r="B28" s="117">
        <v>4</v>
      </c>
      <c r="C28" s="42">
        <f>U26</f>
        <v>582687</v>
      </c>
      <c r="D28" s="42">
        <f>U27</f>
        <v>600956</v>
      </c>
      <c r="P28"/>
      <c r="Q28"/>
      <c r="R28"/>
      <c r="S28"/>
      <c r="T28"/>
      <c r="U28"/>
      <c r="V28"/>
      <c r="W28"/>
      <c r="X28"/>
      <c r="Y28"/>
      <c r="Z28"/>
    </row>
    <row r="29" spans="1:34" s="42" customFormat="1">
      <c r="B29" s="117">
        <v>5</v>
      </c>
      <c r="C29" s="42">
        <f>V26</f>
        <v>582700</v>
      </c>
      <c r="D29" s="42">
        <f>V27</f>
        <v>600922</v>
      </c>
      <c r="P29"/>
      <c r="Q29" s="43" t="s">
        <v>44</v>
      </c>
      <c r="R29" s="43"/>
      <c r="S29" s="31">
        <f>SUM(Q25:AG25)</f>
        <v>569.52829430124405</v>
      </c>
      <c r="T29" t="s">
        <v>49</v>
      </c>
      <c r="U29"/>
      <c r="V29"/>
      <c r="W29"/>
      <c r="X29"/>
      <c r="Y29"/>
      <c r="Z29"/>
    </row>
    <row r="30" spans="1:34" s="42" customFormat="1">
      <c r="B30" s="117">
        <v>6</v>
      </c>
      <c r="C30" s="42">
        <f>W26</f>
        <v>582707</v>
      </c>
      <c r="D30" s="42">
        <f>W27</f>
        <v>600944</v>
      </c>
    </row>
    <row r="31" spans="1:34" s="42" customFormat="1">
      <c r="B31" s="117">
        <v>7</v>
      </c>
      <c r="C31" s="42">
        <f>X26</f>
        <v>582731</v>
      </c>
      <c r="D31" s="42">
        <f>X27</f>
        <v>600917</v>
      </c>
    </row>
    <row r="32" spans="1:34" s="42" customFormat="1">
      <c r="B32" s="117">
        <v>8</v>
      </c>
      <c r="C32" s="42">
        <f>Y26</f>
        <v>582729</v>
      </c>
      <c r="D32" s="42">
        <f>Y27</f>
        <v>600951</v>
      </c>
    </row>
    <row r="33" spans="2:4" s="42" customFormat="1">
      <c r="B33" s="117">
        <v>9</v>
      </c>
      <c r="C33" s="42">
        <f>Z26</f>
        <v>582786</v>
      </c>
      <c r="D33" s="42">
        <f>Z27</f>
        <v>600936</v>
      </c>
    </row>
    <row r="34" spans="2:4" s="42" customFormat="1">
      <c r="B34" s="117">
        <v>10</v>
      </c>
      <c r="C34" s="42">
        <f>AA26</f>
        <v>582766</v>
      </c>
      <c r="D34" s="42">
        <f>AA27</f>
        <v>600916</v>
      </c>
    </row>
    <row r="35" spans="2:4">
      <c r="B35" s="117">
        <v>11</v>
      </c>
      <c r="C35">
        <f>AB26</f>
        <v>582776</v>
      </c>
      <c r="D35">
        <f>AB27</f>
        <v>600941</v>
      </c>
    </row>
    <row r="36" spans="2:4">
      <c r="B36" s="117">
        <v>12</v>
      </c>
      <c r="C36">
        <f>AC26</f>
        <v>582755</v>
      </c>
      <c r="D36">
        <f>AC27</f>
        <v>600932</v>
      </c>
    </row>
    <row r="37" spans="2:4">
      <c r="B37" s="117">
        <v>13</v>
      </c>
      <c r="C37">
        <f>AD26</f>
        <v>582820</v>
      </c>
      <c r="D37">
        <f>AD27</f>
        <v>600920</v>
      </c>
    </row>
    <row r="38" spans="2:4">
      <c r="B38" s="117">
        <v>14</v>
      </c>
      <c r="C38">
        <f>AE26</f>
        <v>582824</v>
      </c>
      <c r="D38">
        <f>AE27</f>
        <v>600914</v>
      </c>
    </row>
    <row r="39" spans="2:4">
      <c r="B39" s="117">
        <v>15</v>
      </c>
      <c r="C39">
        <f>AF26</f>
        <v>582813</v>
      </c>
      <c r="D39">
        <f>AF27</f>
        <v>600940</v>
      </c>
    </row>
    <row r="40" spans="2:4">
      <c r="B40" s="117">
        <v>16</v>
      </c>
      <c r="C40">
        <f>AG26</f>
        <v>582840</v>
      </c>
      <c r="D40">
        <f>AG27</f>
        <v>600941</v>
      </c>
    </row>
  </sheetData>
  <sortState xmlns:xlrd2="http://schemas.microsoft.com/office/spreadsheetml/2017/richdata2" ref="C4:D19">
    <sortCondition ref="C3:C19"/>
  </sortState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L38"/>
  <sheetViews>
    <sheetView zoomScale="60" zoomScaleNormal="60" workbookViewId="0">
      <selection activeCell="R28" sqref="R28:AK28"/>
    </sheetView>
  </sheetViews>
  <sheetFormatPr defaultRowHeight="15"/>
  <cols>
    <col min="16" max="16" width="5.5703125" customWidth="1"/>
  </cols>
  <sheetData>
    <row r="1" spans="1:38">
      <c r="Q1" s="33" t="s">
        <v>47</v>
      </c>
      <c r="AL1" s="33" t="s">
        <v>48</v>
      </c>
    </row>
    <row r="2" spans="1:38" ht="16.350000000000001" customHeight="1">
      <c r="Q2" s="45">
        <v>0</v>
      </c>
      <c r="R2" s="45">
        <v>1</v>
      </c>
      <c r="S2" s="45">
        <v>2</v>
      </c>
      <c r="T2" s="45">
        <v>3</v>
      </c>
      <c r="U2" s="45">
        <v>4</v>
      </c>
      <c r="V2" s="45">
        <v>5</v>
      </c>
      <c r="W2" s="45">
        <v>6</v>
      </c>
      <c r="X2" s="45">
        <v>7</v>
      </c>
      <c r="Y2" s="45">
        <v>8</v>
      </c>
      <c r="Z2" s="45">
        <v>9</v>
      </c>
      <c r="AA2" s="45">
        <v>10</v>
      </c>
      <c r="AB2" s="45">
        <v>11</v>
      </c>
      <c r="AC2" s="45">
        <v>12</v>
      </c>
      <c r="AD2" s="45">
        <v>13</v>
      </c>
      <c r="AE2" s="45">
        <v>14</v>
      </c>
      <c r="AF2" s="45">
        <v>15</v>
      </c>
      <c r="AG2" s="45">
        <v>16</v>
      </c>
      <c r="AH2" s="45">
        <v>17</v>
      </c>
      <c r="AI2" s="45">
        <v>18</v>
      </c>
      <c r="AJ2" s="45">
        <v>19</v>
      </c>
      <c r="AK2" s="45">
        <v>20</v>
      </c>
      <c r="AL2" s="45">
        <v>21</v>
      </c>
    </row>
    <row r="3" spans="1:38">
      <c r="B3" s="30" t="s">
        <v>45</v>
      </c>
      <c r="C3" s="30">
        <f>'Map Template'!U7</f>
        <v>582642.91358000005</v>
      </c>
      <c r="D3" s="30">
        <f>'Map Template'!V7</f>
        <v>600914.80507</v>
      </c>
      <c r="O3" s="33" t="s">
        <v>47</v>
      </c>
      <c r="P3" s="45">
        <v>0</v>
      </c>
      <c r="Q3">
        <f t="shared" ref="Q3:Q24" si="0">SQRT((($C3-$C$3)^2)+(($D3-$D$3)^2))</f>
        <v>0</v>
      </c>
      <c r="R3">
        <f t="shared" ref="R3:R24" si="1">SQRT((($C3-$C$4)^2)+(($D3-$D$4)^2))</f>
        <v>41.620277823641914</v>
      </c>
      <c r="S3">
        <f t="shared" ref="S3:S24" si="2">SQRT((($C3-$C$5)^2)+(($D3-$D$5)^2))</f>
        <v>47.579274964186446</v>
      </c>
      <c r="T3">
        <f t="shared" ref="T3:T24" si="3">SQRT((($C3-$C$6)^2)+(($D3-$D$6)^2))</f>
        <v>14.341285371967924</v>
      </c>
      <c r="U3">
        <f t="shared" ref="U3:U24" si="4">SQRT((($C3-$C$7)^2)+(($D3-$D$7)^2))</f>
        <v>40.313253231670721</v>
      </c>
      <c r="V3">
        <f t="shared" ref="V3:V8" si="5">SQRT((($C3-$C$8)^2)+(($D3-$D$8)^2))</f>
        <v>60.337672196701448</v>
      </c>
      <c r="W3">
        <f t="shared" ref="W3:W24" si="6">SQRT((($C3-$C$9)^2)+(($D3-$D$9)^2))</f>
        <v>57.538042772720488</v>
      </c>
      <c r="X3">
        <f t="shared" ref="X3:X24" si="7">SQRT((($C3-$C$10)^2)+(($D3-$D$10)^2))</f>
        <v>70.423101082773954</v>
      </c>
      <c r="Y3">
        <f t="shared" ref="Y3:Y24" si="8">SQRT((($C3-$C$11)^2)+(($D3-$D$11)^2))</f>
        <v>87.396365176779668</v>
      </c>
      <c r="Z3">
        <f t="shared" ref="Z3:Z24" si="9">SQRT((($C3-$C$12)^2)+(($D3-$D$12)^2))</f>
        <v>88.113762296886705</v>
      </c>
      <c r="AA3">
        <f t="shared" ref="AA3:AA24" si="10">SQRT((($C3-$C$13)^2)+(($D3-$D$13)^2))</f>
        <v>93.385998233741176</v>
      </c>
      <c r="AB3">
        <f t="shared" ref="AB3:AB24" si="11">SQRT((($C3-$C$14)^2)+(($D3-$D$14)^2))</f>
        <v>133.12476391005407</v>
      </c>
      <c r="AC3">
        <f t="shared" ref="AC3:AC24" si="12">SQRT((($C3-$C$15)^2)+(($D3-$D$15)^2))</f>
        <v>144.64767072478745</v>
      </c>
      <c r="AD3">
        <f t="shared" ref="AD3:AD24" si="13">SQRT((($C3-$C$16)^2)+(($D3-$D$16)^2))</f>
        <v>123.09222008765894</v>
      </c>
      <c r="AE3">
        <f t="shared" ref="AE3:AE24" si="14">SQRT((($C3-$C$17)^2)+(($D3-$D$17)^2))</f>
        <v>135.63985235212965</v>
      </c>
      <c r="AF3">
        <f t="shared" ref="AF3:AF24" si="15">SQRT((($C3-$C$18)^2)+(($D3-$D$18)^2))</f>
        <v>113.39766825693431</v>
      </c>
      <c r="AG3">
        <f t="shared" ref="AG3:AG24" si="16">SQRT((($C3-$C$19)^2)+(($D3-$D$19)^2))</f>
        <v>177.16260171408385</v>
      </c>
      <c r="AH3">
        <f t="shared" ref="AH3:AH24" si="17">SQRT((($C3-$C$20)^2)+(($D3-$D$20)^2))</f>
        <v>181.08820957230409</v>
      </c>
      <c r="AI3">
        <f t="shared" ref="AI3:AI24" si="18">SQRT((($C3-$C$21)^2)+(($D3-$D$21)^2))</f>
        <v>171.94235884767821</v>
      </c>
      <c r="AJ3">
        <f t="shared" ref="AJ3:AJ24" si="19">SQRT((($C3-$C$22)^2)+(($D3-$D$22)^2))</f>
        <v>188.06307432907209</v>
      </c>
      <c r="AK3">
        <f t="shared" ref="AK3:AK24" si="20">SQRT((($C3-$C$23)^2)+(($D3-$D$23)^2))</f>
        <v>198.81959487460227</v>
      </c>
      <c r="AL3">
        <f t="shared" ref="AL3:AL24" si="21">SQRT((($C3-$C$24)^2)+(($D3-$D$24)^2))</f>
        <v>202.42035766968698</v>
      </c>
    </row>
    <row r="4" spans="1:38">
      <c r="A4" s="42"/>
      <c r="B4" s="45">
        <v>1</v>
      </c>
      <c r="C4">
        <f>Rand!AF5</f>
        <v>582683</v>
      </c>
      <c r="D4">
        <f>Rand!AG5</f>
        <v>600926</v>
      </c>
      <c r="P4" s="45">
        <v>1</v>
      </c>
      <c r="Q4">
        <f t="shared" si="0"/>
        <v>41.620277823641914</v>
      </c>
      <c r="R4" s="13">
        <f t="shared" si="1"/>
        <v>0</v>
      </c>
      <c r="S4" s="13">
        <f t="shared" si="2"/>
        <v>22.803508501982758</v>
      </c>
      <c r="T4" s="13">
        <f t="shared" si="3"/>
        <v>30.016662039607269</v>
      </c>
      <c r="U4" s="13">
        <f t="shared" si="4"/>
        <v>47.010637094172637</v>
      </c>
      <c r="V4" s="13">
        <f t="shared" si="5"/>
        <v>30.265491900843113</v>
      </c>
      <c r="W4" s="13">
        <f t="shared" si="6"/>
        <v>17.464249196572979</v>
      </c>
      <c r="X4" s="13">
        <f t="shared" si="7"/>
        <v>30</v>
      </c>
      <c r="Y4">
        <f t="shared" si="8"/>
        <v>46.872166581031863</v>
      </c>
      <c r="Z4">
        <f t="shared" si="9"/>
        <v>48.836461788299118</v>
      </c>
      <c r="AA4">
        <f t="shared" si="10"/>
        <v>52.354560450833695</v>
      </c>
      <c r="AB4">
        <f t="shared" si="11"/>
        <v>93.343451832466528</v>
      </c>
      <c r="AC4">
        <f t="shared" si="12"/>
        <v>103.4842983258813</v>
      </c>
      <c r="AD4">
        <f t="shared" si="13"/>
        <v>83.600239234107462</v>
      </c>
      <c r="AE4">
        <f t="shared" si="14"/>
        <v>94.201910808645493</v>
      </c>
      <c r="AF4">
        <f t="shared" si="15"/>
        <v>72.249567472753768</v>
      </c>
      <c r="AG4">
        <f t="shared" si="16"/>
        <v>137.13132391981054</v>
      </c>
      <c r="AH4">
        <f t="shared" si="17"/>
        <v>141.50971698084905</v>
      </c>
      <c r="AI4">
        <f t="shared" si="18"/>
        <v>130.75167302944922</v>
      </c>
      <c r="AJ4">
        <f t="shared" si="19"/>
        <v>146.87409574189726</v>
      </c>
      <c r="AK4">
        <f t="shared" si="20"/>
        <v>157.71493271088823</v>
      </c>
      <c r="AL4">
        <f t="shared" si="21"/>
        <v>163.51052114685481</v>
      </c>
    </row>
    <row r="5" spans="1:38">
      <c r="A5" s="42"/>
      <c r="B5" s="45">
        <v>2</v>
      </c>
      <c r="C5">
        <f>Rand!AF4</f>
        <v>582677</v>
      </c>
      <c r="D5">
        <f>Rand!AG4</f>
        <v>600948</v>
      </c>
      <c r="P5" s="45">
        <v>2</v>
      </c>
      <c r="Q5">
        <f t="shared" si="0"/>
        <v>47.579274964186446</v>
      </c>
      <c r="R5" s="13">
        <f t="shared" si="1"/>
        <v>22.803508501982758</v>
      </c>
      <c r="S5" s="13">
        <f t="shared" si="2"/>
        <v>0</v>
      </c>
      <c r="T5" s="13">
        <f t="shared" si="3"/>
        <v>33.241540277189323</v>
      </c>
      <c r="U5" s="13">
        <f t="shared" si="4"/>
        <v>31.780497164141408</v>
      </c>
      <c r="V5" s="13">
        <f t="shared" si="5"/>
        <v>12.806248474865697</v>
      </c>
      <c r="W5" s="13">
        <f t="shared" si="6"/>
        <v>34.713109915419565</v>
      </c>
      <c r="X5" s="13">
        <f t="shared" si="7"/>
        <v>30.265491900843113</v>
      </c>
      <c r="Y5">
        <f t="shared" si="8"/>
        <v>45.177427992306072</v>
      </c>
      <c r="Z5">
        <f t="shared" si="9"/>
        <v>62.265560304232388</v>
      </c>
      <c r="AA5">
        <f t="shared" si="10"/>
        <v>52.086466572421671</v>
      </c>
      <c r="AB5">
        <f t="shared" si="11"/>
        <v>103.4456378974</v>
      </c>
      <c r="AC5">
        <f t="shared" si="12"/>
        <v>109.65856099730654</v>
      </c>
      <c r="AD5">
        <f t="shared" si="13"/>
        <v>94.578010129204984</v>
      </c>
      <c r="AE5">
        <f t="shared" si="14"/>
        <v>99.247166206396045</v>
      </c>
      <c r="AF5">
        <f t="shared" si="15"/>
        <v>79.624116949577527</v>
      </c>
      <c r="AG5">
        <f t="shared" si="16"/>
        <v>145.71547618561317</v>
      </c>
      <c r="AH5">
        <f t="shared" si="17"/>
        <v>150.88074761214565</v>
      </c>
      <c r="AI5">
        <f t="shared" si="18"/>
        <v>136.23509092741122</v>
      </c>
      <c r="AJ5">
        <f t="shared" si="19"/>
        <v>152.11837495845134</v>
      </c>
      <c r="AK5">
        <f t="shared" si="20"/>
        <v>163.1502375113196</v>
      </c>
      <c r="AL5">
        <f t="shared" si="21"/>
        <v>173.65720671977525</v>
      </c>
    </row>
    <row r="6" spans="1:38">
      <c r="A6" s="42"/>
      <c r="B6" s="45">
        <v>3</v>
      </c>
      <c r="C6">
        <f>Rand!AF6</f>
        <v>582653</v>
      </c>
      <c r="D6">
        <f>Rand!AG6</f>
        <v>600925</v>
      </c>
      <c r="P6" s="45">
        <v>3</v>
      </c>
      <c r="Q6">
        <f t="shared" si="0"/>
        <v>14.341285371967924</v>
      </c>
      <c r="R6" s="13">
        <f t="shared" si="1"/>
        <v>30.016662039607269</v>
      </c>
      <c r="S6" s="13">
        <f t="shared" si="2"/>
        <v>33.241540277189323</v>
      </c>
      <c r="T6" s="13">
        <f t="shared" si="3"/>
        <v>0</v>
      </c>
      <c r="U6" s="13">
        <f t="shared" si="4"/>
        <v>30.805843601498726</v>
      </c>
      <c r="V6" s="13">
        <f t="shared" si="5"/>
        <v>46.010868281309364</v>
      </c>
      <c r="W6" s="13">
        <f t="shared" si="6"/>
        <v>47.095647357266465</v>
      </c>
      <c r="X6" s="13">
        <f t="shared" si="7"/>
        <v>57.245087125446844</v>
      </c>
      <c r="Y6">
        <f t="shared" si="8"/>
        <v>74.094534211370814</v>
      </c>
      <c r="Z6">
        <f t="shared" si="9"/>
        <v>78.409183135650636</v>
      </c>
      <c r="AA6">
        <f t="shared" si="10"/>
        <v>80.324342512092812</v>
      </c>
      <c r="AB6">
        <f t="shared" si="11"/>
        <v>123.1990259701756</v>
      </c>
      <c r="AC6">
        <f t="shared" si="12"/>
        <v>133.45411196362591</v>
      </c>
      <c r="AD6">
        <f t="shared" si="13"/>
        <v>113.35784048754634</v>
      </c>
      <c r="AE6">
        <f t="shared" si="14"/>
        <v>124.03628501370073</v>
      </c>
      <c r="AF6">
        <f t="shared" si="15"/>
        <v>102.23991392797629</v>
      </c>
      <c r="AG6">
        <f t="shared" si="16"/>
        <v>167.0748335327616</v>
      </c>
      <c r="AH6">
        <f t="shared" si="17"/>
        <v>171.35343591536179</v>
      </c>
      <c r="AI6">
        <f t="shared" si="18"/>
        <v>160.70158679988197</v>
      </c>
      <c r="AJ6">
        <f t="shared" si="19"/>
        <v>176.81911661356077</v>
      </c>
      <c r="AK6">
        <f t="shared" si="20"/>
        <v>187.68324379123459</v>
      </c>
      <c r="AL6">
        <f t="shared" si="21"/>
        <v>193.17549302567986</v>
      </c>
    </row>
    <row r="7" spans="1:38">
      <c r="A7" s="42"/>
      <c r="B7" s="45">
        <v>4</v>
      </c>
      <c r="C7">
        <f>Rand!AF3</f>
        <v>582646</v>
      </c>
      <c r="D7">
        <f>Rand!AG3</f>
        <v>600955</v>
      </c>
      <c r="P7" s="45">
        <v>4</v>
      </c>
      <c r="Q7">
        <f t="shared" si="0"/>
        <v>40.313253231670721</v>
      </c>
      <c r="R7" s="13">
        <f t="shared" si="1"/>
        <v>47.010637094172637</v>
      </c>
      <c r="S7" s="13">
        <f t="shared" si="2"/>
        <v>31.780497164141408</v>
      </c>
      <c r="T7" s="13">
        <f t="shared" si="3"/>
        <v>30.805843601498726</v>
      </c>
      <c r="U7" s="13">
        <f t="shared" si="4"/>
        <v>0</v>
      </c>
      <c r="V7" s="13">
        <f t="shared" si="5"/>
        <v>41.012193308819754</v>
      </c>
      <c r="W7" s="13">
        <f t="shared" si="6"/>
        <v>63.28506932918696</v>
      </c>
      <c r="X7" s="13">
        <f t="shared" si="7"/>
        <v>61.98386886924694</v>
      </c>
      <c r="Y7">
        <f t="shared" si="8"/>
        <v>76.05918747922567</v>
      </c>
      <c r="Z7">
        <f t="shared" si="9"/>
        <v>93.107464792034804</v>
      </c>
      <c r="AA7">
        <f t="shared" si="10"/>
        <v>83.096329642168911</v>
      </c>
      <c r="AB7">
        <f t="shared" si="11"/>
        <v>135.16286472252651</v>
      </c>
      <c r="AC7">
        <f t="shared" si="12"/>
        <v>141.2834031300209</v>
      </c>
      <c r="AD7">
        <f t="shared" si="13"/>
        <v>126.17844506887855</v>
      </c>
      <c r="AE7">
        <f t="shared" si="14"/>
        <v>130.75167302944922</v>
      </c>
      <c r="AF7">
        <f t="shared" si="15"/>
        <v>111.40017953306898</v>
      </c>
      <c r="AG7">
        <f t="shared" si="16"/>
        <v>177.48521065147935</v>
      </c>
      <c r="AH7">
        <f t="shared" si="17"/>
        <v>182.6608879864543</v>
      </c>
      <c r="AI7">
        <f t="shared" si="18"/>
        <v>167.67229944149989</v>
      </c>
      <c r="AJ7">
        <f t="shared" si="19"/>
        <v>183.46116755324545</v>
      </c>
      <c r="AK7">
        <f t="shared" si="20"/>
        <v>194.50449866262733</v>
      </c>
      <c r="AL7">
        <f t="shared" si="21"/>
        <v>205.42350173656564</v>
      </c>
    </row>
    <row r="8" spans="1:38">
      <c r="A8" s="42"/>
      <c r="B8" s="45">
        <v>5</v>
      </c>
      <c r="C8">
        <f>Rand!AF2</f>
        <v>582687</v>
      </c>
      <c r="D8">
        <f>Rand!AG2</f>
        <v>600956</v>
      </c>
      <c r="P8" s="45">
        <v>5</v>
      </c>
      <c r="Q8">
        <f t="shared" si="0"/>
        <v>60.337672196701448</v>
      </c>
      <c r="R8" s="13">
        <f t="shared" si="1"/>
        <v>30.265491900843113</v>
      </c>
      <c r="S8" s="13">
        <f t="shared" si="2"/>
        <v>12.806248474865697</v>
      </c>
      <c r="T8" s="13">
        <f t="shared" si="3"/>
        <v>46.010868281309364</v>
      </c>
      <c r="U8" s="13">
        <f t="shared" si="4"/>
        <v>41.012193308819754</v>
      </c>
      <c r="V8" s="13">
        <f t="shared" si="5"/>
        <v>0</v>
      </c>
      <c r="W8" s="13">
        <f t="shared" si="6"/>
        <v>36.400549446402593</v>
      </c>
      <c r="X8" s="13">
        <f t="shared" si="7"/>
        <v>23.323807579381203</v>
      </c>
      <c r="Y8">
        <f t="shared" si="8"/>
        <v>35.227829907617071</v>
      </c>
      <c r="Z8">
        <f t="shared" si="9"/>
        <v>58.796258384356399</v>
      </c>
      <c r="AA8">
        <f t="shared" si="10"/>
        <v>42.296571965113202</v>
      </c>
      <c r="AB8">
        <f t="shared" si="11"/>
        <v>96.772930099279307</v>
      </c>
      <c r="AC8">
        <f t="shared" si="12"/>
        <v>101</v>
      </c>
      <c r="AD8">
        <f t="shared" si="13"/>
        <v>88.549421229051518</v>
      </c>
      <c r="AE8">
        <f t="shared" si="14"/>
        <v>90.255193756370602</v>
      </c>
      <c r="AF8">
        <f t="shared" si="15"/>
        <v>72.111025509279784</v>
      </c>
      <c r="AG8">
        <f t="shared" si="16"/>
        <v>137.78606605894515</v>
      </c>
      <c r="AH8">
        <f t="shared" si="17"/>
        <v>143.29340529138108</v>
      </c>
      <c r="AI8">
        <f t="shared" si="18"/>
        <v>127.01181047445942</v>
      </c>
      <c r="AJ8">
        <f t="shared" si="19"/>
        <v>142.68847185389575</v>
      </c>
      <c r="AK8">
        <f t="shared" si="20"/>
        <v>153.73353570382747</v>
      </c>
      <c r="AL8">
        <f t="shared" si="21"/>
        <v>166.31124798315636</v>
      </c>
    </row>
    <row r="9" spans="1:38">
      <c r="A9" s="42"/>
      <c r="B9" s="45">
        <v>6</v>
      </c>
      <c r="C9">
        <f>Rand!AF9</f>
        <v>582700</v>
      </c>
      <c r="D9">
        <f>Rand!AG9</f>
        <v>600922</v>
      </c>
      <c r="P9" s="45">
        <v>6</v>
      </c>
      <c r="Q9">
        <f t="shared" si="0"/>
        <v>57.538042772720488</v>
      </c>
      <c r="R9" s="13">
        <f t="shared" si="1"/>
        <v>17.464249196572979</v>
      </c>
      <c r="S9" s="13">
        <f t="shared" si="2"/>
        <v>34.713109915419565</v>
      </c>
      <c r="T9" s="13">
        <f t="shared" si="3"/>
        <v>47.095647357266465</v>
      </c>
      <c r="U9" s="13">
        <f t="shared" si="4"/>
        <v>63.28506932918696</v>
      </c>
      <c r="V9" s="13">
        <f t="shared" ref="V9:V24" si="22">SQRT((($C9-$C$8)^2)+(($D9-$D$8)^2))</f>
        <v>36.400549446402593</v>
      </c>
      <c r="W9" s="13">
        <f t="shared" si="6"/>
        <v>0</v>
      </c>
      <c r="X9" s="13">
        <f t="shared" si="7"/>
        <v>23.086792761230392</v>
      </c>
      <c r="Y9">
        <f t="shared" si="8"/>
        <v>37.20215047547655</v>
      </c>
      <c r="Z9">
        <f t="shared" si="9"/>
        <v>31.400636936215164</v>
      </c>
      <c r="AA9">
        <f t="shared" si="10"/>
        <v>41.012193308819754</v>
      </c>
      <c r="AB9">
        <f t="shared" si="11"/>
        <v>76.105190361761785</v>
      </c>
      <c r="AC9">
        <f t="shared" si="12"/>
        <v>87.13208364316786</v>
      </c>
      <c r="AD9">
        <f t="shared" si="13"/>
        <v>66.272166103123567</v>
      </c>
      <c r="AE9">
        <f t="shared" si="14"/>
        <v>78.339006886735547</v>
      </c>
      <c r="AF9">
        <f t="shared" si="15"/>
        <v>55.901699437494742</v>
      </c>
      <c r="AG9">
        <f t="shared" si="16"/>
        <v>120.01666550941998</v>
      </c>
      <c r="AH9">
        <f t="shared" si="17"/>
        <v>124.25779653607253</v>
      </c>
      <c r="AI9">
        <f t="shared" si="18"/>
        <v>114.42464769445436</v>
      </c>
      <c r="AJ9">
        <f t="shared" si="19"/>
        <v>130.54118124178285</v>
      </c>
      <c r="AK9">
        <f t="shared" si="20"/>
        <v>141.2834031300209</v>
      </c>
      <c r="AL9">
        <f t="shared" si="21"/>
        <v>146.13959451742411</v>
      </c>
    </row>
    <row r="10" spans="1:38">
      <c r="A10" s="42"/>
      <c r="B10" s="45">
        <v>7</v>
      </c>
      <c r="C10">
        <f>Rand!AF7</f>
        <v>582707</v>
      </c>
      <c r="D10">
        <f>Rand!AG7</f>
        <v>600944</v>
      </c>
      <c r="P10" s="45">
        <v>7</v>
      </c>
      <c r="Q10">
        <f t="shared" si="0"/>
        <v>70.423101082773954</v>
      </c>
      <c r="R10" s="13">
        <f t="shared" si="1"/>
        <v>30</v>
      </c>
      <c r="S10" s="13">
        <f t="shared" si="2"/>
        <v>30.265491900843113</v>
      </c>
      <c r="T10" s="13">
        <f t="shared" si="3"/>
        <v>57.245087125446844</v>
      </c>
      <c r="U10" s="13">
        <f t="shared" si="4"/>
        <v>61.98386886924694</v>
      </c>
      <c r="V10" s="13">
        <f t="shared" si="22"/>
        <v>23.323807579381203</v>
      </c>
      <c r="W10" s="13">
        <f t="shared" si="6"/>
        <v>23.086792761230392</v>
      </c>
      <c r="X10" s="13">
        <f t="shared" si="7"/>
        <v>0</v>
      </c>
      <c r="Y10">
        <f t="shared" si="8"/>
        <v>17</v>
      </c>
      <c r="Z10">
        <f t="shared" si="9"/>
        <v>36.124783736376884</v>
      </c>
      <c r="AA10">
        <f t="shared" si="10"/>
        <v>23.086792761230392</v>
      </c>
      <c r="AB10">
        <f t="shared" si="11"/>
        <v>73.736015623303103</v>
      </c>
      <c r="AC10">
        <f t="shared" si="12"/>
        <v>79.404030124421269</v>
      </c>
      <c r="AD10">
        <f t="shared" si="13"/>
        <v>65.30696746902278</v>
      </c>
      <c r="AE10">
        <f t="shared" si="14"/>
        <v>69.06518659932803</v>
      </c>
      <c r="AF10">
        <f t="shared" si="15"/>
        <v>49.477267507411923</v>
      </c>
      <c r="AG10">
        <f t="shared" si="16"/>
        <v>115.52056094046635</v>
      </c>
      <c r="AH10">
        <f t="shared" si="17"/>
        <v>120.78493283518438</v>
      </c>
      <c r="AI10">
        <f t="shared" si="18"/>
        <v>106.07544484940895</v>
      </c>
      <c r="AJ10">
        <f t="shared" si="19"/>
        <v>122.01639234135715</v>
      </c>
      <c r="AK10">
        <f t="shared" si="20"/>
        <v>133.0338302838793</v>
      </c>
      <c r="AL10">
        <f t="shared" si="21"/>
        <v>143.66410743716239</v>
      </c>
    </row>
    <row r="11" spans="1:38">
      <c r="A11" s="42"/>
      <c r="B11" s="45">
        <v>8</v>
      </c>
      <c r="C11">
        <f>Rand!AF11</f>
        <v>582722</v>
      </c>
      <c r="D11">
        <f>Rand!AG11</f>
        <v>600952</v>
      </c>
      <c r="P11" s="45">
        <v>8</v>
      </c>
      <c r="Q11">
        <f t="shared" si="0"/>
        <v>87.396365176779668</v>
      </c>
      <c r="R11">
        <f t="shared" si="1"/>
        <v>46.872166581031863</v>
      </c>
      <c r="S11">
        <f t="shared" si="2"/>
        <v>45.177427992306072</v>
      </c>
      <c r="T11">
        <f t="shared" si="3"/>
        <v>74.094534211370814</v>
      </c>
      <c r="U11">
        <f t="shared" si="4"/>
        <v>76.05918747922567</v>
      </c>
      <c r="V11">
        <f t="shared" si="22"/>
        <v>35.227829907617071</v>
      </c>
      <c r="W11">
        <f t="shared" si="6"/>
        <v>37.20215047547655</v>
      </c>
      <c r="X11">
        <f t="shared" si="7"/>
        <v>17</v>
      </c>
      <c r="Y11">
        <f t="shared" si="8"/>
        <v>0</v>
      </c>
      <c r="Z11">
        <f t="shared" si="9"/>
        <v>36.138621999185304</v>
      </c>
      <c r="AA11">
        <f t="shared" si="10"/>
        <v>7.0710678118654755</v>
      </c>
      <c r="AB11">
        <f t="shared" si="11"/>
        <v>63.812224534175265</v>
      </c>
      <c r="AC11">
        <f t="shared" si="12"/>
        <v>65.969690009882569</v>
      </c>
      <c r="AD11">
        <f t="shared" si="13"/>
        <v>56.850681614207581</v>
      </c>
      <c r="AE11">
        <f t="shared" si="14"/>
        <v>55.108982933819419</v>
      </c>
      <c r="AF11">
        <f t="shared" si="15"/>
        <v>38.587562763149478</v>
      </c>
      <c r="AG11">
        <f t="shared" si="16"/>
        <v>103.09219175087898</v>
      </c>
      <c r="AH11">
        <f t="shared" si="17"/>
        <v>108.84851859350222</v>
      </c>
      <c r="AI11">
        <f t="shared" si="18"/>
        <v>91.787798753429101</v>
      </c>
      <c r="AJ11">
        <f t="shared" si="19"/>
        <v>107.46627377926528</v>
      </c>
      <c r="AK11">
        <f t="shared" si="20"/>
        <v>118.51160280748886</v>
      </c>
      <c r="AL11">
        <f t="shared" si="21"/>
        <v>131.99389806243693</v>
      </c>
    </row>
    <row r="12" spans="1:38">
      <c r="A12" s="42"/>
      <c r="B12" s="45">
        <v>9</v>
      </c>
      <c r="C12">
        <f>Rand!AF8</f>
        <v>582731</v>
      </c>
      <c r="D12">
        <f>Rand!AG8</f>
        <v>600917</v>
      </c>
      <c r="P12" s="45">
        <v>9</v>
      </c>
      <c r="Q12">
        <f t="shared" si="0"/>
        <v>88.113762296886705</v>
      </c>
      <c r="R12" s="13">
        <f t="shared" si="1"/>
        <v>48.836461788299118</v>
      </c>
      <c r="S12" s="13">
        <f t="shared" si="2"/>
        <v>62.265560304232388</v>
      </c>
      <c r="T12" s="13">
        <f t="shared" si="3"/>
        <v>78.409183135650636</v>
      </c>
      <c r="U12" s="13">
        <f t="shared" si="4"/>
        <v>93.107464792034804</v>
      </c>
      <c r="V12" s="13">
        <f t="shared" si="22"/>
        <v>58.796258384356399</v>
      </c>
      <c r="W12" s="13">
        <f t="shared" si="6"/>
        <v>31.400636936215164</v>
      </c>
      <c r="X12" s="13">
        <f t="shared" si="7"/>
        <v>36.124783736376884</v>
      </c>
      <c r="Y12">
        <f t="shared" si="8"/>
        <v>36.138621999185304</v>
      </c>
      <c r="Z12">
        <f t="shared" si="9"/>
        <v>0</v>
      </c>
      <c r="AA12">
        <f t="shared" si="10"/>
        <v>34.058772731852805</v>
      </c>
      <c r="AB12">
        <f t="shared" si="11"/>
        <v>45.011109739707599</v>
      </c>
      <c r="AC12">
        <f t="shared" si="12"/>
        <v>58.189346103904619</v>
      </c>
      <c r="AD12">
        <f t="shared" si="13"/>
        <v>35.014282800023196</v>
      </c>
      <c r="AE12">
        <f t="shared" si="14"/>
        <v>51</v>
      </c>
      <c r="AF12">
        <f t="shared" si="15"/>
        <v>28.301943396169811</v>
      </c>
      <c r="AG12">
        <f t="shared" si="16"/>
        <v>89.050547443572739</v>
      </c>
      <c r="AH12">
        <f t="shared" si="17"/>
        <v>93.048374515624943</v>
      </c>
      <c r="AI12">
        <f t="shared" si="18"/>
        <v>85.164546614186818</v>
      </c>
      <c r="AJ12">
        <f t="shared" si="19"/>
        <v>101.13851887386922</v>
      </c>
      <c r="AK12">
        <f t="shared" si="20"/>
        <v>111.61093136427094</v>
      </c>
      <c r="AL12">
        <f t="shared" si="21"/>
        <v>114.76819727485061</v>
      </c>
    </row>
    <row r="13" spans="1:38">
      <c r="A13" s="42"/>
      <c r="B13" s="45">
        <v>10</v>
      </c>
      <c r="C13">
        <f>Rand!AF10</f>
        <v>582729</v>
      </c>
      <c r="D13">
        <f>Rand!AG10</f>
        <v>600951</v>
      </c>
      <c r="P13" s="45">
        <v>10</v>
      </c>
      <c r="Q13">
        <f t="shared" si="0"/>
        <v>93.385998233741176</v>
      </c>
      <c r="R13" s="13">
        <f t="shared" si="1"/>
        <v>52.354560450833695</v>
      </c>
      <c r="S13" s="13">
        <f t="shared" si="2"/>
        <v>52.086466572421671</v>
      </c>
      <c r="T13" s="13">
        <f t="shared" si="3"/>
        <v>80.324342512092812</v>
      </c>
      <c r="U13" s="13">
        <f t="shared" si="4"/>
        <v>83.096329642168911</v>
      </c>
      <c r="V13" s="13">
        <f t="shared" si="22"/>
        <v>42.296571965113202</v>
      </c>
      <c r="W13" s="13">
        <f t="shared" si="6"/>
        <v>41.012193308819754</v>
      </c>
      <c r="X13" s="13">
        <f t="shared" si="7"/>
        <v>23.086792761230392</v>
      </c>
      <c r="Y13">
        <f t="shared" si="8"/>
        <v>7.0710678118654755</v>
      </c>
      <c r="Z13">
        <f t="shared" si="9"/>
        <v>34.058772731852805</v>
      </c>
      <c r="AA13">
        <f t="shared" si="10"/>
        <v>0</v>
      </c>
      <c r="AB13">
        <f t="shared" si="11"/>
        <v>57.428216061444921</v>
      </c>
      <c r="AC13">
        <f t="shared" si="12"/>
        <v>58.940648113165501</v>
      </c>
      <c r="AD13">
        <f t="shared" si="13"/>
        <v>50.931326312987373</v>
      </c>
      <c r="AE13">
        <f t="shared" si="14"/>
        <v>48.052055106935853</v>
      </c>
      <c r="AF13">
        <f t="shared" si="15"/>
        <v>32.202484376209235</v>
      </c>
      <c r="AG13">
        <f t="shared" si="16"/>
        <v>96.135321292436529</v>
      </c>
      <c r="AH13">
        <f t="shared" si="17"/>
        <v>101.95096860746347</v>
      </c>
      <c r="AI13">
        <f t="shared" si="18"/>
        <v>84.717176534631989</v>
      </c>
      <c r="AJ13">
        <f t="shared" si="19"/>
        <v>100.40418317978589</v>
      </c>
      <c r="AK13">
        <f t="shared" si="20"/>
        <v>111.44954015158609</v>
      </c>
      <c r="AL13">
        <f t="shared" si="21"/>
        <v>125.11628968970192</v>
      </c>
    </row>
    <row r="14" spans="1:38">
      <c r="A14" s="42"/>
      <c r="B14" s="45">
        <v>11</v>
      </c>
      <c r="C14">
        <f>Rand!AF16</f>
        <v>582776</v>
      </c>
      <c r="D14">
        <f>Rand!AG16</f>
        <v>600918</v>
      </c>
      <c r="P14" s="45">
        <v>11</v>
      </c>
      <c r="Q14">
        <f t="shared" si="0"/>
        <v>133.12476391005407</v>
      </c>
      <c r="R14" s="13">
        <f t="shared" si="1"/>
        <v>93.343451832466528</v>
      </c>
      <c r="S14" s="13">
        <f t="shared" si="2"/>
        <v>103.4456378974</v>
      </c>
      <c r="T14" s="13">
        <f t="shared" si="3"/>
        <v>123.1990259701756</v>
      </c>
      <c r="U14" s="13">
        <f t="shared" si="4"/>
        <v>135.16286472252651</v>
      </c>
      <c r="V14" s="13">
        <f t="shared" si="22"/>
        <v>96.772930099279307</v>
      </c>
      <c r="W14" s="13">
        <f t="shared" si="6"/>
        <v>76.105190361761785</v>
      </c>
      <c r="X14" s="13">
        <f t="shared" si="7"/>
        <v>73.736015623303103</v>
      </c>
      <c r="Y14">
        <f t="shared" si="8"/>
        <v>63.812224534175265</v>
      </c>
      <c r="Z14">
        <f t="shared" si="9"/>
        <v>45.011109739707599</v>
      </c>
      <c r="AA14">
        <f t="shared" si="10"/>
        <v>57.428216061444921</v>
      </c>
      <c r="AB14">
        <f t="shared" si="11"/>
        <v>0</v>
      </c>
      <c r="AC14">
        <f t="shared" si="12"/>
        <v>20.591260281974002</v>
      </c>
      <c r="AD14">
        <f t="shared" si="13"/>
        <v>10.198039027185569</v>
      </c>
      <c r="AE14">
        <f t="shared" si="14"/>
        <v>23</v>
      </c>
      <c r="AF14">
        <f t="shared" si="15"/>
        <v>25.238858928247925</v>
      </c>
      <c r="AG14">
        <f t="shared" si="16"/>
        <v>44.045431091090478</v>
      </c>
      <c r="AH14">
        <f t="shared" si="17"/>
        <v>48.166378315169183</v>
      </c>
      <c r="AI14">
        <f t="shared" si="18"/>
        <v>43.046486500061768</v>
      </c>
      <c r="AJ14">
        <f t="shared" si="19"/>
        <v>58.180752831155424</v>
      </c>
      <c r="AK14">
        <f t="shared" si="20"/>
        <v>68.007352543677214</v>
      </c>
      <c r="AL14">
        <f t="shared" si="21"/>
        <v>70.412224263414586</v>
      </c>
    </row>
    <row r="15" spans="1:38">
      <c r="A15" s="42"/>
      <c r="B15" s="45">
        <v>12</v>
      </c>
      <c r="C15">
        <f>Rand!AF12</f>
        <v>582786</v>
      </c>
      <c r="D15">
        <f>Rand!AG12</f>
        <v>600936</v>
      </c>
      <c r="P15" s="45">
        <v>12</v>
      </c>
      <c r="Q15">
        <f t="shared" si="0"/>
        <v>144.64767072478745</v>
      </c>
      <c r="R15" s="13">
        <f t="shared" si="1"/>
        <v>103.4842983258813</v>
      </c>
      <c r="S15" s="13">
        <f t="shared" si="2"/>
        <v>109.65856099730654</v>
      </c>
      <c r="T15" s="13">
        <f t="shared" si="3"/>
        <v>133.45411196362591</v>
      </c>
      <c r="U15" s="13">
        <f t="shared" si="4"/>
        <v>141.2834031300209</v>
      </c>
      <c r="V15" s="13">
        <f t="shared" si="22"/>
        <v>101</v>
      </c>
      <c r="W15" s="13">
        <f t="shared" si="6"/>
        <v>87.13208364316786</v>
      </c>
      <c r="X15" s="13">
        <f t="shared" si="7"/>
        <v>79.404030124421269</v>
      </c>
      <c r="Y15">
        <f t="shared" si="8"/>
        <v>65.969690009882569</v>
      </c>
      <c r="Z15">
        <f t="shared" si="9"/>
        <v>58.189346103904619</v>
      </c>
      <c r="AA15">
        <f t="shared" si="10"/>
        <v>58.940648113165501</v>
      </c>
      <c r="AB15">
        <f t="shared" si="11"/>
        <v>20.591260281974002</v>
      </c>
      <c r="AC15">
        <f t="shared" si="12"/>
        <v>0</v>
      </c>
      <c r="AD15">
        <f t="shared" si="13"/>
        <v>28.284271247461902</v>
      </c>
      <c r="AE15">
        <f t="shared" si="14"/>
        <v>11.180339887498949</v>
      </c>
      <c r="AF15">
        <f t="shared" si="15"/>
        <v>31.256999216175569</v>
      </c>
      <c r="AG15">
        <f t="shared" si="16"/>
        <v>37.576588456111871</v>
      </c>
      <c r="AH15">
        <f t="shared" si="17"/>
        <v>43.908996800200299</v>
      </c>
      <c r="AI15">
        <f t="shared" si="18"/>
        <v>27.294688127912362</v>
      </c>
      <c r="AJ15">
        <f t="shared" si="19"/>
        <v>43.416586692184822</v>
      </c>
      <c r="AK15">
        <f t="shared" si="20"/>
        <v>54.230987451824994</v>
      </c>
      <c r="AL15">
        <f t="shared" si="21"/>
        <v>67.046441260674882</v>
      </c>
    </row>
    <row r="16" spans="1:38">
      <c r="A16" s="42"/>
      <c r="B16" s="45">
        <v>13</v>
      </c>
      <c r="C16">
        <f>Rand!AF13</f>
        <v>582766</v>
      </c>
      <c r="D16">
        <f>Rand!AG13</f>
        <v>600916</v>
      </c>
      <c r="P16" s="45">
        <v>13</v>
      </c>
      <c r="Q16">
        <f t="shared" si="0"/>
        <v>123.09222008765894</v>
      </c>
      <c r="R16" s="13">
        <f t="shared" si="1"/>
        <v>83.600239234107462</v>
      </c>
      <c r="S16" s="13">
        <f t="shared" si="2"/>
        <v>94.578010129204984</v>
      </c>
      <c r="T16" s="13">
        <f t="shared" si="3"/>
        <v>113.35784048754634</v>
      </c>
      <c r="U16" s="13">
        <f t="shared" si="4"/>
        <v>126.17844506887855</v>
      </c>
      <c r="V16" s="13">
        <f t="shared" si="22"/>
        <v>88.549421229051518</v>
      </c>
      <c r="W16" s="13">
        <f t="shared" si="6"/>
        <v>66.272166103123567</v>
      </c>
      <c r="X16" s="13">
        <f t="shared" si="7"/>
        <v>65.30696746902278</v>
      </c>
      <c r="Y16">
        <f t="shared" si="8"/>
        <v>56.850681614207581</v>
      </c>
      <c r="Z16">
        <f t="shared" si="9"/>
        <v>35.014282800023196</v>
      </c>
      <c r="AA16">
        <f t="shared" si="10"/>
        <v>50.931326312987373</v>
      </c>
      <c r="AB16">
        <f t="shared" si="11"/>
        <v>10.198039027185569</v>
      </c>
      <c r="AC16">
        <f t="shared" si="12"/>
        <v>28.284271247461902</v>
      </c>
      <c r="AD16">
        <f t="shared" si="13"/>
        <v>0</v>
      </c>
      <c r="AE16">
        <f t="shared" si="14"/>
        <v>26.92582403567252</v>
      </c>
      <c r="AF16">
        <f t="shared" si="15"/>
        <v>19.416487838947599</v>
      </c>
      <c r="AG16">
        <f t="shared" si="16"/>
        <v>54.147945482723536</v>
      </c>
      <c r="AH16">
        <f t="shared" si="17"/>
        <v>58.034472514187634</v>
      </c>
      <c r="AI16">
        <f t="shared" si="18"/>
        <v>52.773099207835045</v>
      </c>
      <c r="AJ16">
        <f t="shared" si="19"/>
        <v>68.154236845554948</v>
      </c>
      <c r="AK16">
        <f t="shared" si="20"/>
        <v>78.108898340714035</v>
      </c>
      <c r="AL16">
        <f t="shared" si="21"/>
        <v>79.925706038301243</v>
      </c>
    </row>
    <row r="17" spans="1:38">
      <c r="A17" s="42"/>
      <c r="B17" s="45">
        <v>14</v>
      </c>
      <c r="C17">
        <f>Rand!AF15</f>
        <v>582776</v>
      </c>
      <c r="D17">
        <f>Rand!AG15</f>
        <v>600941</v>
      </c>
      <c r="P17" s="45">
        <v>14</v>
      </c>
      <c r="Q17">
        <f t="shared" si="0"/>
        <v>135.63985235212965</v>
      </c>
      <c r="R17" s="13">
        <f t="shared" si="1"/>
        <v>94.201910808645493</v>
      </c>
      <c r="S17" s="13">
        <f t="shared" si="2"/>
        <v>99.247166206396045</v>
      </c>
      <c r="T17" s="13">
        <f t="shared" si="3"/>
        <v>124.03628501370073</v>
      </c>
      <c r="U17" s="13">
        <f t="shared" si="4"/>
        <v>130.75167302944922</v>
      </c>
      <c r="V17" s="13">
        <f t="shared" si="22"/>
        <v>90.255193756370602</v>
      </c>
      <c r="W17" s="13">
        <f t="shared" si="6"/>
        <v>78.339006886735547</v>
      </c>
      <c r="X17" s="13">
        <f t="shared" si="7"/>
        <v>69.06518659932803</v>
      </c>
      <c r="Y17">
        <f t="shared" si="8"/>
        <v>55.108982933819419</v>
      </c>
      <c r="Z17">
        <f t="shared" si="9"/>
        <v>51</v>
      </c>
      <c r="AA17">
        <f t="shared" si="10"/>
        <v>48.052055106935853</v>
      </c>
      <c r="AB17">
        <f t="shared" si="11"/>
        <v>23</v>
      </c>
      <c r="AC17">
        <f t="shared" si="12"/>
        <v>11.180339887498949</v>
      </c>
      <c r="AD17">
        <f t="shared" si="13"/>
        <v>26.92582403567252</v>
      </c>
      <c r="AE17">
        <f t="shared" si="14"/>
        <v>0</v>
      </c>
      <c r="AF17">
        <f t="shared" si="15"/>
        <v>22.847319317591726</v>
      </c>
      <c r="AG17">
        <f t="shared" si="16"/>
        <v>48.754486972995622</v>
      </c>
      <c r="AH17">
        <f t="shared" si="17"/>
        <v>55.072679252057455</v>
      </c>
      <c r="AI17">
        <f t="shared" si="18"/>
        <v>37.013511046643494</v>
      </c>
      <c r="AJ17">
        <f t="shared" si="19"/>
        <v>53.009433122794285</v>
      </c>
      <c r="AK17">
        <f t="shared" si="20"/>
        <v>64</v>
      </c>
      <c r="AL17">
        <f t="shared" si="21"/>
        <v>78.222625791521267</v>
      </c>
    </row>
    <row r="18" spans="1:38">
      <c r="B18" s="45">
        <v>15</v>
      </c>
      <c r="C18">
        <f>Rand!AF14</f>
        <v>582755</v>
      </c>
      <c r="D18">
        <f>Rand!AG14</f>
        <v>600932</v>
      </c>
      <c r="P18" s="45">
        <v>15</v>
      </c>
      <c r="Q18">
        <f t="shared" si="0"/>
        <v>113.39766825693431</v>
      </c>
      <c r="R18">
        <f t="shared" si="1"/>
        <v>72.249567472753768</v>
      </c>
      <c r="S18">
        <f t="shared" si="2"/>
        <v>79.624116949577527</v>
      </c>
      <c r="T18">
        <f t="shared" si="3"/>
        <v>102.23991392797629</v>
      </c>
      <c r="U18">
        <f t="shared" si="4"/>
        <v>111.40017953306898</v>
      </c>
      <c r="V18">
        <f t="shared" si="22"/>
        <v>72.111025509279784</v>
      </c>
      <c r="W18">
        <f t="shared" si="6"/>
        <v>55.901699437494742</v>
      </c>
      <c r="X18">
        <f t="shared" si="7"/>
        <v>49.477267507411923</v>
      </c>
      <c r="Y18">
        <f t="shared" si="8"/>
        <v>38.587562763149478</v>
      </c>
      <c r="Z18">
        <f t="shared" si="9"/>
        <v>28.301943396169811</v>
      </c>
      <c r="AA18">
        <f t="shared" si="10"/>
        <v>32.202484376209235</v>
      </c>
      <c r="AB18">
        <f t="shared" si="11"/>
        <v>25.238858928247925</v>
      </c>
      <c r="AC18">
        <f t="shared" si="12"/>
        <v>31.256999216175569</v>
      </c>
      <c r="AD18">
        <f t="shared" si="13"/>
        <v>19.416487838947599</v>
      </c>
      <c r="AE18">
        <f t="shared" si="14"/>
        <v>22.847319317591726</v>
      </c>
      <c r="AF18">
        <f t="shared" si="15"/>
        <v>0</v>
      </c>
      <c r="AG18">
        <f t="shared" si="16"/>
        <v>66.098411478642959</v>
      </c>
      <c r="AH18">
        <f t="shared" si="17"/>
        <v>71.309185944028272</v>
      </c>
      <c r="AI18">
        <f t="shared" si="18"/>
        <v>58.54912467321779</v>
      </c>
      <c r="AJ18">
        <f t="shared" si="19"/>
        <v>74.672618810377884</v>
      </c>
      <c r="AK18">
        <f t="shared" si="20"/>
        <v>85.475142585432408</v>
      </c>
      <c r="AL18">
        <f t="shared" si="21"/>
        <v>94.233767226613864</v>
      </c>
    </row>
    <row r="19" spans="1:38">
      <c r="B19" s="45">
        <v>16</v>
      </c>
      <c r="C19">
        <f>Rand!AF19</f>
        <v>582820</v>
      </c>
      <c r="D19">
        <f>Rand!AG19</f>
        <v>600920</v>
      </c>
      <c r="P19" s="45">
        <v>16</v>
      </c>
      <c r="Q19">
        <f t="shared" si="0"/>
        <v>177.16260171408385</v>
      </c>
      <c r="R19" s="13">
        <f t="shared" si="1"/>
        <v>137.13132391981054</v>
      </c>
      <c r="S19" s="13">
        <f t="shared" si="2"/>
        <v>145.71547618561317</v>
      </c>
      <c r="T19" s="13">
        <f t="shared" si="3"/>
        <v>167.0748335327616</v>
      </c>
      <c r="U19" s="13">
        <f t="shared" si="4"/>
        <v>177.48521065147935</v>
      </c>
      <c r="V19" s="13">
        <f t="shared" si="22"/>
        <v>137.78606605894515</v>
      </c>
      <c r="W19" s="13">
        <f t="shared" si="6"/>
        <v>120.01666550941998</v>
      </c>
      <c r="X19" s="13">
        <f t="shared" si="7"/>
        <v>115.52056094046635</v>
      </c>
      <c r="Y19">
        <f t="shared" si="8"/>
        <v>103.09219175087898</v>
      </c>
      <c r="Z19">
        <f t="shared" si="9"/>
        <v>89.050547443572739</v>
      </c>
      <c r="AA19">
        <f t="shared" si="10"/>
        <v>96.135321292436529</v>
      </c>
      <c r="AB19">
        <f t="shared" si="11"/>
        <v>44.045431091090478</v>
      </c>
      <c r="AC19">
        <f t="shared" si="12"/>
        <v>37.576588456111871</v>
      </c>
      <c r="AD19">
        <f t="shared" si="13"/>
        <v>54.147945482723536</v>
      </c>
      <c r="AE19">
        <f t="shared" si="14"/>
        <v>48.754486972995622</v>
      </c>
      <c r="AF19">
        <f t="shared" si="15"/>
        <v>66.098411478642959</v>
      </c>
      <c r="AG19">
        <f t="shared" si="16"/>
        <v>0</v>
      </c>
      <c r="AH19">
        <f t="shared" si="17"/>
        <v>7.2111025509279782</v>
      </c>
      <c r="AI19">
        <f t="shared" si="18"/>
        <v>21.189620100417091</v>
      </c>
      <c r="AJ19">
        <f t="shared" si="19"/>
        <v>23.769728648009426</v>
      </c>
      <c r="AK19">
        <f t="shared" si="20"/>
        <v>29</v>
      </c>
      <c r="AL19">
        <f t="shared" si="21"/>
        <v>29.590806777167444</v>
      </c>
    </row>
    <row r="20" spans="1:38">
      <c r="B20" s="45">
        <v>17</v>
      </c>
      <c r="C20">
        <f>Rand!AF17</f>
        <v>582824</v>
      </c>
      <c r="D20">
        <f>Rand!AG17</f>
        <v>600914</v>
      </c>
      <c r="P20" s="45">
        <v>17</v>
      </c>
      <c r="Q20">
        <f t="shared" si="0"/>
        <v>181.08820957230409</v>
      </c>
      <c r="R20" s="13">
        <f t="shared" si="1"/>
        <v>141.50971698084905</v>
      </c>
      <c r="S20" s="13">
        <f t="shared" si="2"/>
        <v>150.88074761214565</v>
      </c>
      <c r="T20" s="13">
        <f t="shared" si="3"/>
        <v>171.35343591536179</v>
      </c>
      <c r="U20" s="13">
        <f t="shared" si="4"/>
        <v>182.6608879864543</v>
      </c>
      <c r="V20" s="13">
        <f t="shared" si="22"/>
        <v>143.29340529138108</v>
      </c>
      <c r="W20" s="13">
        <f t="shared" si="6"/>
        <v>124.25779653607253</v>
      </c>
      <c r="X20" s="13">
        <f t="shared" si="7"/>
        <v>120.78493283518438</v>
      </c>
      <c r="Y20">
        <f t="shared" si="8"/>
        <v>108.84851859350222</v>
      </c>
      <c r="Z20">
        <f t="shared" si="9"/>
        <v>93.048374515624943</v>
      </c>
      <c r="AA20">
        <f t="shared" si="10"/>
        <v>101.95096860746347</v>
      </c>
      <c r="AB20">
        <f t="shared" si="11"/>
        <v>48.166378315169183</v>
      </c>
      <c r="AC20">
        <f t="shared" si="12"/>
        <v>43.908996800200299</v>
      </c>
      <c r="AD20">
        <f t="shared" si="13"/>
        <v>58.034472514187634</v>
      </c>
      <c r="AE20">
        <f t="shared" si="14"/>
        <v>55.072679252057455</v>
      </c>
      <c r="AF20">
        <f t="shared" si="15"/>
        <v>71.309185944028272</v>
      </c>
      <c r="AG20">
        <f t="shared" si="16"/>
        <v>7.2111025509279782</v>
      </c>
      <c r="AH20">
        <f t="shared" si="17"/>
        <v>0</v>
      </c>
      <c r="AI20">
        <f t="shared" si="18"/>
        <v>28.231188426986208</v>
      </c>
      <c r="AJ20">
        <f t="shared" si="19"/>
        <v>28.442925306655784</v>
      </c>
      <c r="AK20">
        <f t="shared" si="20"/>
        <v>31.384709652950431</v>
      </c>
      <c r="AL20">
        <f t="shared" si="21"/>
        <v>23.201271640238588</v>
      </c>
    </row>
    <row r="21" spans="1:38">
      <c r="B21" s="45">
        <v>18</v>
      </c>
      <c r="C21">
        <f>Rand!AF18</f>
        <v>582813</v>
      </c>
      <c r="D21">
        <f>Rand!AG18</f>
        <v>600940</v>
      </c>
      <c r="P21" s="45">
        <v>18</v>
      </c>
      <c r="Q21">
        <f t="shared" si="0"/>
        <v>171.94235884767821</v>
      </c>
      <c r="R21" s="13">
        <f t="shared" si="1"/>
        <v>130.75167302944922</v>
      </c>
      <c r="S21" s="13">
        <f t="shared" si="2"/>
        <v>136.23509092741122</v>
      </c>
      <c r="T21" s="13">
        <f t="shared" si="3"/>
        <v>160.70158679988197</v>
      </c>
      <c r="U21" s="13">
        <f t="shared" si="4"/>
        <v>167.67229944149989</v>
      </c>
      <c r="V21" s="13">
        <f t="shared" si="22"/>
        <v>127.01181047445942</v>
      </c>
      <c r="W21" s="13">
        <f t="shared" si="6"/>
        <v>114.42464769445436</v>
      </c>
      <c r="X21" s="13">
        <f t="shared" si="7"/>
        <v>106.07544484940895</v>
      </c>
      <c r="Y21">
        <f t="shared" si="8"/>
        <v>91.787798753429101</v>
      </c>
      <c r="Z21">
        <f t="shared" si="9"/>
        <v>85.164546614186818</v>
      </c>
      <c r="AA21">
        <f t="shared" si="10"/>
        <v>84.717176534631989</v>
      </c>
      <c r="AB21">
        <f t="shared" si="11"/>
        <v>43.046486500061768</v>
      </c>
      <c r="AC21">
        <f t="shared" si="12"/>
        <v>27.294688127912362</v>
      </c>
      <c r="AD21">
        <f t="shared" si="13"/>
        <v>52.773099207835045</v>
      </c>
      <c r="AE21">
        <f t="shared" si="14"/>
        <v>37.013511046643494</v>
      </c>
      <c r="AF21">
        <f t="shared" si="15"/>
        <v>58.54912467321779</v>
      </c>
      <c r="AG21">
        <f t="shared" si="16"/>
        <v>21.189620100417091</v>
      </c>
      <c r="AH21">
        <f t="shared" si="17"/>
        <v>28.231188426986208</v>
      </c>
      <c r="AI21">
        <f t="shared" si="18"/>
        <v>0</v>
      </c>
      <c r="AJ21">
        <f t="shared" si="19"/>
        <v>16.124515496597098</v>
      </c>
      <c r="AK21">
        <f t="shared" si="20"/>
        <v>27.018512172212592</v>
      </c>
      <c r="AL21">
        <f t="shared" si="21"/>
        <v>48.009599099788325</v>
      </c>
    </row>
    <row r="22" spans="1:38">
      <c r="B22" s="45">
        <v>19</v>
      </c>
      <c r="C22">
        <f>Rand!AF21</f>
        <v>582829</v>
      </c>
      <c r="D22">
        <f>Rand!AG21</f>
        <v>600942</v>
      </c>
      <c r="P22" s="45">
        <v>19</v>
      </c>
      <c r="Q22">
        <f t="shared" si="0"/>
        <v>188.06307432907209</v>
      </c>
      <c r="R22" s="13">
        <f t="shared" si="1"/>
        <v>146.87409574189726</v>
      </c>
      <c r="S22" s="13">
        <f t="shared" si="2"/>
        <v>152.11837495845134</v>
      </c>
      <c r="T22" s="13">
        <f t="shared" si="3"/>
        <v>176.81911661356077</v>
      </c>
      <c r="U22" s="13">
        <f t="shared" si="4"/>
        <v>183.46116755324545</v>
      </c>
      <c r="V22" s="13">
        <f t="shared" si="22"/>
        <v>142.68847185389575</v>
      </c>
      <c r="W22" s="13">
        <f t="shared" si="6"/>
        <v>130.54118124178285</v>
      </c>
      <c r="X22" s="13">
        <f t="shared" si="7"/>
        <v>122.01639234135715</v>
      </c>
      <c r="Y22">
        <f t="shared" si="8"/>
        <v>107.46627377926528</v>
      </c>
      <c r="Z22">
        <f t="shared" si="9"/>
        <v>101.13851887386922</v>
      </c>
      <c r="AA22">
        <f t="shared" si="10"/>
        <v>100.40418317978589</v>
      </c>
      <c r="AB22">
        <f t="shared" si="11"/>
        <v>58.180752831155424</v>
      </c>
      <c r="AC22">
        <f t="shared" si="12"/>
        <v>43.416586692184822</v>
      </c>
      <c r="AD22">
        <f t="shared" si="13"/>
        <v>68.154236845554948</v>
      </c>
      <c r="AE22">
        <f t="shared" si="14"/>
        <v>53.009433122794285</v>
      </c>
      <c r="AF22">
        <f t="shared" si="15"/>
        <v>74.672618810377884</v>
      </c>
      <c r="AG22">
        <f t="shared" si="16"/>
        <v>23.769728648009426</v>
      </c>
      <c r="AH22">
        <f t="shared" si="17"/>
        <v>28.442925306655784</v>
      </c>
      <c r="AI22">
        <f t="shared" si="18"/>
        <v>16.124515496597098</v>
      </c>
      <c r="AJ22">
        <f t="shared" si="19"/>
        <v>0</v>
      </c>
      <c r="AK22">
        <f t="shared" si="20"/>
        <v>11.045361017187261</v>
      </c>
      <c r="AL22">
        <f t="shared" si="21"/>
        <v>41.011871034167214</v>
      </c>
    </row>
    <row r="23" spans="1:38">
      <c r="B23" s="45">
        <v>20</v>
      </c>
      <c r="C23">
        <f>Rand!AF20</f>
        <v>582840</v>
      </c>
      <c r="D23">
        <f>Rand!AG20</f>
        <v>600941</v>
      </c>
      <c r="P23" s="45">
        <v>20</v>
      </c>
      <c r="Q23">
        <f t="shared" si="0"/>
        <v>198.81959487460227</v>
      </c>
      <c r="R23" s="13">
        <f t="shared" si="1"/>
        <v>157.71493271088823</v>
      </c>
      <c r="S23" s="13">
        <f t="shared" si="2"/>
        <v>163.1502375113196</v>
      </c>
      <c r="T23" s="13">
        <f t="shared" si="3"/>
        <v>187.68324379123459</v>
      </c>
      <c r="U23" s="13">
        <f t="shared" si="4"/>
        <v>194.50449866262733</v>
      </c>
      <c r="V23" s="13">
        <f t="shared" si="22"/>
        <v>153.73353570382747</v>
      </c>
      <c r="W23" s="13">
        <f t="shared" si="6"/>
        <v>141.2834031300209</v>
      </c>
      <c r="X23" s="13">
        <f t="shared" si="7"/>
        <v>133.0338302838793</v>
      </c>
      <c r="Y23">
        <f t="shared" si="8"/>
        <v>118.51160280748886</v>
      </c>
      <c r="Z23">
        <f t="shared" si="9"/>
        <v>111.61093136427094</v>
      </c>
      <c r="AA23">
        <f t="shared" si="10"/>
        <v>111.44954015158609</v>
      </c>
      <c r="AB23">
        <f t="shared" si="11"/>
        <v>68.007352543677214</v>
      </c>
      <c r="AC23">
        <f t="shared" si="12"/>
        <v>54.230987451824994</v>
      </c>
      <c r="AD23">
        <f t="shared" si="13"/>
        <v>78.108898340714035</v>
      </c>
      <c r="AE23">
        <f t="shared" si="14"/>
        <v>64</v>
      </c>
      <c r="AF23">
        <f t="shared" si="15"/>
        <v>85.475142585432408</v>
      </c>
      <c r="AG23">
        <f t="shared" si="16"/>
        <v>29</v>
      </c>
      <c r="AH23">
        <f t="shared" si="17"/>
        <v>31.384709652950431</v>
      </c>
      <c r="AI23">
        <f t="shared" si="18"/>
        <v>27.018512172212592</v>
      </c>
      <c r="AJ23">
        <f t="shared" si="19"/>
        <v>11.045361017187261</v>
      </c>
      <c r="AK23">
        <f t="shared" si="20"/>
        <v>0</v>
      </c>
      <c r="AL23">
        <f t="shared" si="21"/>
        <v>37.083641484134183</v>
      </c>
    </row>
    <row r="24" spans="1:38">
      <c r="B24" s="30" t="s">
        <v>46</v>
      </c>
      <c r="C24" s="30">
        <f>'Map Template'!U8</f>
        <v>582845.05923999997</v>
      </c>
      <c r="D24" s="30">
        <f>'Map Template'!V8</f>
        <v>600904.26309000002</v>
      </c>
      <c r="O24" s="33" t="s">
        <v>48</v>
      </c>
      <c r="P24" s="45">
        <v>21</v>
      </c>
      <c r="Q24">
        <f t="shared" si="0"/>
        <v>202.42035766968698</v>
      </c>
      <c r="R24">
        <f t="shared" si="1"/>
        <v>163.51052114685481</v>
      </c>
      <c r="S24">
        <f t="shared" si="2"/>
        <v>173.65720671977525</v>
      </c>
      <c r="T24">
        <f t="shared" si="3"/>
        <v>193.17549302567986</v>
      </c>
      <c r="U24">
        <f t="shared" si="4"/>
        <v>205.42350173656564</v>
      </c>
      <c r="V24">
        <f t="shared" si="22"/>
        <v>166.31124798315636</v>
      </c>
      <c r="W24">
        <f t="shared" si="6"/>
        <v>146.13959451742411</v>
      </c>
      <c r="X24">
        <f t="shared" si="7"/>
        <v>143.66410743716239</v>
      </c>
      <c r="Y24">
        <f t="shared" si="8"/>
        <v>131.99389806243693</v>
      </c>
      <c r="Z24">
        <f t="shared" si="9"/>
        <v>114.76819727485061</v>
      </c>
      <c r="AA24">
        <f t="shared" si="10"/>
        <v>125.11628968970192</v>
      </c>
      <c r="AB24">
        <f t="shared" si="11"/>
        <v>70.412224263414586</v>
      </c>
      <c r="AC24">
        <f t="shared" si="12"/>
        <v>67.046441260674882</v>
      </c>
      <c r="AD24">
        <f t="shared" si="13"/>
        <v>79.925706038301243</v>
      </c>
      <c r="AE24">
        <f t="shared" si="14"/>
        <v>78.222625791521267</v>
      </c>
      <c r="AF24">
        <f t="shared" si="15"/>
        <v>94.233767226613864</v>
      </c>
      <c r="AG24">
        <f t="shared" si="16"/>
        <v>29.590806777167444</v>
      </c>
      <c r="AH24">
        <f t="shared" si="17"/>
        <v>23.201271640238588</v>
      </c>
      <c r="AI24">
        <f t="shared" si="18"/>
        <v>48.009599099788325</v>
      </c>
      <c r="AJ24">
        <f t="shared" si="19"/>
        <v>41.011871034167214</v>
      </c>
      <c r="AK24">
        <f t="shared" si="20"/>
        <v>37.083641484134183</v>
      </c>
      <c r="AL24">
        <f t="shared" si="21"/>
        <v>0</v>
      </c>
    </row>
    <row r="26" spans="1:38">
      <c r="Q26" s="43" t="s">
        <v>43</v>
      </c>
      <c r="R26" s="43"/>
    </row>
    <row r="27" spans="1:38">
      <c r="Q27" s="33" t="s">
        <v>47</v>
      </c>
      <c r="AL27" s="33" t="s">
        <v>48</v>
      </c>
    </row>
    <row r="28" spans="1:38">
      <c r="Q28" s="32">
        <v>22</v>
      </c>
      <c r="R28" s="45">
        <v>1</v>
      </c>
      <c r="S28" s="45">
        <v>2</v>
      </c>
      <c r="T28" s="45">
        <v>3</v>
      </c>
      <c r="U28" s="45">
        <v>4</v>
      </c>
      <c r="V28" s="45">
        <v>5</v>
      </c>
      <c r="W28" s="45">
        <v>6</v>
      </c>
      <c r="X28" s="45">
        <v>7</v>
      </c>
      <c r="Y28" s="45">
        <v>8</v>
      </c>
      <c r="Z28" s="45">
        <v>9</v>
      </c>
      <c r="AA28" s="45">
        <v>10</v>
      </c>
      <c r="AB28" s="45">
        <v>11</v>
      </c>
      <c r="AC28" s="45">
        <v>12</v>
      </c>
      <c r="AD28" s="45">
        <v>13</v>
      </c>
      <c r="AE28" s="45">
        <v>14</v>
      </c>
      <c r="AF28" s="45">
        <v>15</v>
      </c>
      <c r="AG28" s="45">
        <v>16</v>
      </c>
      <c r="AH28" s="45">
        <v>17</v>
      </c>
      <c r="AI28" s="45">
        <v>18</v>
      </c>
      <c r="AJ28" s="45">
        <v>19</v>
      </c>
      <c r="AK28" s="45">
        <v>20</v>
      </c>
      <c r="AL28" s="45">
        <v>21</v>
      </c>
    </row>
    <row r="29" spans="1:38">
      <c r="Q29">
        <f>SQRT((($R30-$C$3)^2)+(($R31-$D$3)^2))</f>
        <v>41.620277823641914</v>
      </c>
      <c r="R29">
        <f t="shared" ref="R29:AJ29" si="23">INDEX($R$4:$AK$23,R28,S28)</f>
        <v>22.803508501982758</v>
      </c>
      <c r="S29">
        <f t="shared" si="23"/>
        <v>33.241540277189323</v>
      </c>
      <c r="T29">
        <f t="shared" si="23"/>
        <v>30.805843601498726</v>
      </c>
      <c r="U29">
        <f t="shared" si="23"/>
        <v>41.012193308819754</v>
      </c>
      <c r="V29">
        <f t="shared" si="23"/>
        <v>36.400549446402593</v>
      </c>
      <c r="W29">
        <f t="shared" si="23"/>
        <v>23.086792761230392</v>
      </c>
      <c r="X29">
        <f t="shared" si="23"/>
        <v>17</v>
      </c>
      <c r="Y29">
        <f t="shared" si="23"/>
        <v>36.138621999185304</v>
      </c>
      <c r="Z29">
        <f t="shared" si="23"/>
        <v>34.058772731852805</v>
      </c>
      <c r="AA29">
        <f t="shared" si="23"/>
        <v>57.428216061444921</v>
      </c>
      <c r="AB29">
        <f t="shared" si="23"/>
        <v>20.591260281974002</v>
      </c>
      <c r="AC29">
        <f t="shared" si="23"/>
        <v>28.284271247461902</v>
      </c>
      <c r="AD29">
        <f t="shared" si="23"/>
        <v>26.92582403567252</v>
      </c>
      <c r="AE29">
        <f t="shared" si="23"/>
        <v>22.847319317591726</v>
      </c>
      <c r="AF29">
        <f t="shared" si="23"/>
        <v>66.098411478642959</v>
      </c>
      <c r="AG29">
        <f t="shared" si="23"/>
        <v>7.2111025509279782</v>
      </c>
      <c r="AH29">
        <f t="shared" si="23"/>
        <v>28.231188426986208</v>
      </c>
      <c r="AI29">
        <f t="shared" si="23"/>
        <v>16.124515496597098</v>
      </c>
      <c r="AJ29">
        <f t="shared" si="23"/>
        <v>11.045361017187261</v>
      </c>
      <c r="AK29">
        <f>INDEX($R$4:$AL$24,AK28,AL28)</f>
        <v>37.083641484134183</v>
      </c>
    </row>
    <row r="30" spans="1:38">
      <c r="P30" s="44" t="s">
        <v>25</v>
      </c>
      <c r="Q30">
        <f>C3</f>
        <v>582642.91358000005</v>
      </c>
      <c r="R30">
        <f>VLOOKUP(R28,$B$4:$C$23,2,FALSE)</f>
        <v>582683</v>
      </c>
      <c r="S30">
        <f t="shared" ref="S30:AK30" si="24">VLOOKUP(S28,$B$4:$C$23,2,FALSE)</f>
        <v>582677</v>
      </c>
      <c r="T30">
        <f t="shared" si="24"/>
        <v>582653</v>
      </c>
      <c r="U30">
        <f t="shared" si="24"/>
        <v>582646</v>
      </c>
      <c r="V30">
        <f t="shared" si="24"/>
        <v>582687</v>
      </c>
      <c r="W30">
        <f t="shared" si="24"/>
        <v>582700</v>
      </c>
      <c r="X30">
        <f t="shared" si="24"/>
        <v>582707</v>
      </c>
      <c r="Y30">
        <f t="shared" si="24"/>
        <v>582722</v>
      </c>
      <c r="Z30">
        <f t="shared" si="24"/>
        <v>582731</v>
      </c>
      <c r="AA30">
        <f t="shared" si="24"/>
        <v>582729</v>
      </c>
      <c r="AB30">
        <f t="shared" si="24"/>
        <v>582776</v>
      </c>
      <c r="AC30">
        <f t="shared" si="24"/>
        <v>582786</v>
      </c>
      <c r="AD30">
        <f t="shared" si="24"/>
        <v>582766</v>
      </c>
      <c r="AE30">
        <f t="shared" si="24"/>
        <v>582776</v>
      </c>
      <c r="AF30">
        <f t="shared" si="24"/>
        <v>582755</v>
      </c>
      <c r="AG30">
        <f t="shared" si="24"/>
        <v>582820</v>
      </c>
      <c r="AH30">
        <f t="shared" si="24"/>
        <v>582824</v>
      </c>
      <c r="AI30">
        <f t="shared" si="24"/>
        <v>582813</v>
      </c>
      <c r="AJ30">
        <f t="shared" si="24"/>
        <v>582829</v>
      </c>
      <c r="AK30">
        <f t="shared" si="24"/>
        <v>582840</v>
      </c>
      <c r="AL30">
        <f>C24</f>
        <v>582845.05923999997</v>
      </c>
    </row>
    <row r="31" spans="1:38" s="42" customFormat="1">
      <c r="A31"/>
      <c r="B31"/>
      <c r="C31"/>
      <c r="D31"/>
      <c r="P31" s="44" t="s">
        <v>26</v>
      </c>
      <c r="Q31">
        <f>D3</f>
        <v>600914.80507</v>
      </c>
      <c r="R31">
        <f t="shared" ref="R31:AK31" si="25">VLOOKUP(R28,$B$4:$D$23,3,FALSE)</f>
        <v>600926</v>
      </c>
      <c r="S31">
        <f t="shared" si="25"/>
        <v>600948</v>
      </c>
      <c r="T31">
        <f t="shared" si="25"/>
        <v>600925</v>
      </c>
      <c r="U31">
        <f t="shared" si="25"/>
        <v>600955</v>
      </c>
      <c r="V31">
        <f t="shared" si="25"/>
        <v>600956</v>
      </c>
      <c r="W31">
        <f t="shared" si="25"/>
        <v>600922</v>
      </c>
      <c r="X31">
        <f t="shared" si="25"/>
        <v>600944</v>
      </c>
      <c r="Y31">
        <f t="shared" si="25"/>
        <v>600952</v>
      </c>
      <c r="Z31">
        <f t="shared" si="25"/>
        <v>600917</v>
      </c>
      <c r="AA31">
        <f t="shared" si="25"/>
        <v>600951</v>
      </c>
      <c r="AB31">
        <f t="shared" si="25"/>
        <v>600918</v>
      </c>
      <c r="AC31">
        <f t="shared" si="25"/>
        <v>600936</v>
      </c>
      <c r="AD31">
        <f t="shared" si="25"/>
        <v>600916</v>
      </c>
      <c r="AE31">
        <f t="shared" si="25"/>
        <v>600941</v>
      </c>
      <c r="AF31">
        <f t="shared" si="25"/>
        <v>600932</v>
      </c>
      <c r="AG31">
        <f t="shared" si="25"/>
        <v>600920</v>
      </c>
      <c r="AH31">
        <f t="shared" si="25"/>
        <v>600914</v>
      </c>
      <c r="AI31">
        <f t="shared" si="25"/>
        <v>600940</v>
      </c>
      <c r="AJ31">
        <f t="shared" si="25"/>
        <v>600942</v>
      </c>
      <c r="AK31">
        <f t="shared" si="25"/>
        <v>600941</v>
      </c>
      <c r="AL31">
        <f>D24</f>
        <v>600904.26309000002</v>
      </c>
    </row>
    <row r="32" spans="1:38" s="42" customFormat="1">
      <c r="A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</row>
    <row r="33" spans="16:32" s="42" customFormat="1">
      <c r="P33"/>
      <c r="Q33" s="43" t="s">
        <v>44</v>
      </c>
      <c r="R33" s="43"/>
      <c r="S33" s="31">
        <f>SUM(Q29:AK29)</f>
        <v>638.03921185042429</v>
      </c>
      <c r="T33" t="s">
        <v>49</v>
      </c>
      <c r="U33"/>
      <c r="V33"/>
      <c r="W33"/>
      <c r="X33"/>
      <c r="Y33"/>
      <c r="Z33"/>
      <c r="AA33"/>
      <c r="AB33"/>
      <c r="AC33"/>
      <c r="AD33"/>
      <c r="AE33"/>
      <c r="AF33"/>
    </row>
    <row r="34" spans="16:32" s="42" customFormat="1"/>
    <row r="35" spans="16:32" s="42" customFormat="1"/>
    <row r="36" spans="16:32" s="42" customFormat="1"/>
    <row r="37" spans="16:32" s="42" customFormat="1"/>
    <row r="38" spans="16:32" s="42" customFormat="1"/>
  </sheetData>
  <sortState xmlns:xlrd2="http://schemas.microsoft.com/office/spreadsheetml/2017/richdata2" ref="C4:D23">
    <sortCondition ref="C3:C23"/>
  </sortState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7"/>
  <dimension ref="A1:AP57"/>
  <sheetViews>
    <sheetView zoomScale="40" zoomScaleNormal="40" workbookViewId="0">
      <selection activeCell="R32" sqref="R32:AO32"/>
    </sheetView>
  </sheetViews>
  <sheetFormatPr defaultRowHeight="15"/>
  <cols>
    <col min="16" max="16" width="5.5703125" customWidth="1"/>
  </cols>
  <sheetData>
    <row r="1" spans="1:42">
      <c r="Q1" s="33" t="s">
        <v>47</v>
      </c>
      <c r="AP1" s="33" t="s">
        <v>48</v>
      </c>
    </row>
    <row r="2" spans="1:42" ht="16.350000000000001" customHeight="1">
      <c r="Q2" s="45">
        <v>0</v>
      </c>
      <c r="R2" s="45">
        <v>1</v>
      </c>
      <c r="S2" s="45">
        <v>2</v>
      </c>
      <c r="T2" s="45">
        <v>3</v>
      </c>
      <c r="U2" s="45">
        <v>4</v>
      </c>
      <c r="V2" s="45">
        <v>5</v>
      </c>
      <c r="W2" s="45">
        <v>6</v>
      </c>
      <c r="X2" s="45">
        <v>7</v>
      </c>
      <c r="Y2" s="45">
        <v>8</v>
      </c>
      <c r="Z2" s="45">
        <v>9</v>
      </c>
      <c r="AA2" s="45">
        <v>10</v>
      </c>
      <c r="AB2" s="45">
        <v>11</v>
      </c>
      <c r="AC2" s="45">
        <v>12</v>
      </c>
      <c r="AD2" s="45">
        <v>13</v>
      </c>
      <c r="AE2" s="45">
        <v>14</v>
      </c>
      <c r="AF2" s="45">
        <v>15</v>
      </c>
      <c r="AG2" s="45">
        <v>16</v>
      </c>
      <c r="AH2" s="45">
        <v>17</v>
      </c>
      <c r="AI2" s="45">
        <v>18</v>
      </c>
      <c r="AJ2" s="45">
        <v>19</v>
      </c>
      <c r="AK2" s="45">
        <v>20</v>
      </c>
      <c r="AL2" s="45">
        <v>21</v>
      </c>
      <c r="AM2" s="45">
        <v>22</v>
      </c>
      <c r="AN2" s="45">
        <v>23</v>
      </c>
      <c r="AO2" s="45">
        <v>24</v>
      </c>
      <c r="AP2" s="45">
        <v>25</v>
      </c>
    </row>
    <row r="3" spans="1:42">
      <c r="B3" s="30" t="s">
        <v>45</v>
      </c>
      <c r="C3" s="30">
        <f>'Map Template'!U7</f>
        <v>582642.91358000005</v>
      </c>
      <c r="D3" s="30">
        <f>'Map Template'!V7</f>
        <v>600914.80507</v>
      </c>
      <c r="O3" s="33" t="s">
        <v>47</v>
      </c>
      <c r="P3" s="45">
        <v>0</v>
      </c>
      <c r="Q3">
        <f t="shared" ref="Q3:Q28" si="0">SQRT((($C3-$C$3)^2)+(($D3-$D$3)^2))</f>
        <v>0</v>
      </c>
      <c r="R3">
        <f t="shared" ref="R3:R28" si="1">SQRT((($C3-$C$4)^2)+(($D3-$D$4)^2))</f>
        <v>41.620277823641914</v>
      </c>
      <c r="S3">
        <f t="shared" ref="S3:S28" si="2">SQRT((($C3-$C$5)^2)+(($D3-$D$5)^2))</f>
        <v>47.579274964186446</v>
      </c>
      <c r="T3">
        <f t="shared" ref="T3:T28" si="3">SQRT((($C3-$C$6)^2)+(($D3-$D$6)^2))</f>
        <v>14.341285371967924</v>
      </c>
      <c r="U3">
        <f t="shared" ref="U3:U28" si="4">SQRT((($C3-$C$7)^2)+(($D3-$D$7)^2))</f>
        <v>40.313253231670721</v>
      </c>
      <c r="V3">
        <f t="shared" ref="V3:V28" si="5">SQRT((($C3-$C$8)^2)+(($D3-$D$8)^2))</f>
        <v>12.861381967768008</v>
      </c>
      <c r="W3">
        <f t="shared" ref="W3:W28" si="6">SQRT((($C3-$C$9)^2)+(($D3-$D$9)^2))</f>
        <v>60.337672196701448</v>
      </c>
      <c r="X3">
        <f t="shared" ref="X3:X28" si="7">SQRT((($C3-$C$10)^2)+(($D3-$D$10)^2))</f>
        <v>83.832132300886528</v>
      </c>
      <c r="Y3">
        <f t="shared" ref="Y3:Y28" si="8">SQRT((($C3-$C$11)^2)+(($D3-$D$11)^2))</f>
        <v>57.538042772720488</v>
      </c>
      <c r="Z3">
        <f t="shared" ref="Z3:Z28" si="9">SQRT((($C3-$C$12)^2)+(($D3-$D$12)^2))</f>
        <v>70.423101082773954</v>
      </c>
      <c r="AA3">
        <f t="shared" ref="AA3:AA28" si="10">SQRT((($C3-$C$13)^2)+(($D3-$D$13)^2))</f>
        <v>87.396365176779668</v>
      </c>
      <c r="AB3">
        <f t="shared" ref="AB3:AB28" si="11">SQRT((($C3-$C$14)^2)+(($D3-$D$14)^2))</f>
        <v>88.113762296886705</v>
      </c>
      <c r="AC3">
        <f t="shared" ref="AC3:AC28" si="12">SQRT((($C3-$C$15)^2)+(($D3-$D$15)^2))</f>
        <v>93.385998233741176</v>
      </c>
      <c r="AD3">
        <f t="shared" ref="AD3:AD28" si="13">SQRT((($C3-$C$16)^2)+(($D3-$D$16)^2))</f>
        <v>133.12476391005407</v>
      </c>
      <c r="AE3">
        <f t="shared" ref="AE3:AE28" si="14">SQRT((($C3-$C$17)^2)+(($D3-$D$17)^2))</f>
        <v>144.64767072478745</v>
      </c>
      <c r="AF3">
        <f t="shared" ref="AF3:AF28" si="15">SQRT((($C3-$C$18)^2)+(($D3-$D$18)^2))</f>
        <v>123.09222008765894</v>
      </c>
      <c r="AG3">
        <f t="shared" ref="AG3:AG28" si="16">SQRT((($C3-$C$19)^2)+(($D3-$D$19)^2))</f>
        <v>135.63985235212965</v>
      </c>
      <c r="AH3">
        <f>SQRT((($C3-$C$20)^2)+(($D3-$D$20)^2))</f>
        <v>115.1205997470023</v>
      </c>
      <c r="AI3">
        <f>SQRT((($C3-$C$21)^2)+(($D3-$D$21)^2))</f>
        <v>113.39766825693431</v>
      </c>
      <c r="AJ3">
        <f>SQRT((($C3-$C$22)^2)+(($D3-$D$22)^2))</f>
        <v>192.11298843675715</v>
      </c>
      <c r="AK3">
        <f>SQRT((($C3-$C$23)^2)+(($D3-$D$23)^2))</f>
        <v>177.16260171408385</v>
      </c>
      <c r="AL3">
        <f>SQRT((($C3-$C$24)^2)+(($D3-$D$24)^2))</f>
        <v>181.08820957230409</v>
      </c>
      <c r="AM3">
        <f>SQRT((($C3-$C$25)^2)+(($D3-$D$25)^2))</f>
        <v>171.94235884767821</v>
      </c>
      <c r="AN3">
        <f>SQRT((($C3-$C$26)^2)+(($D3-$D$26)^2))</f>
        <v>188.06307432907209</v>
      </c>
      <c r="AO3">
        <f>SQRT((($C3-$C$27)^2)+(($D3-$D$27)^2))</f>
        <v>198.81959487460227</v>
      </c>
      <c r="AP3">
        <f t="shared" ref="AP3:AP28" si="17">SQRT((($C3-$C$28)^2)+(($D3-$D$28)^2))</f>
        <v>202.42035766968698</v>
      </c>
    </row>
    <row r="4" spans="1:42">
      <c r="A4" s="42"/>
      <c r="B4" s="45">
        <v>1</v>
      </c>
      <c r="C4">
        <f>Rand!T5</f>
        <v>582683</v>
      </c>
      <c r="D4">
        <f>Rand!U5</f>
        <v>600926</v>
      </c>
      <c r="P4" s="45">
        <v>1</v>
      </c>
      <c r="Q4">
        <f t="shared" si="0"/>
        <v>41.620277823641914</v>
      </c>
      <c r="R4" s="13">
        <f t="shared" si="1"/>
        <v>0</v>
      </c>
      <c r="S4" s="13">
        <f t="shared" si="2"/>
        <v>22.803508501982758</v>
      </c>
      <c r="T4" s="13">
        <f t="shared" si="3"/>
        <v>30.016662039607269</v>
      </c>
      <c r="U4" s="13">
        <f t="shared" si="4"/>
        <v>47.010637094172637</v>
      </c>
      <c r="V4" s="13">
        <f t="shared" si="5"/>
        <v>36.013886210738214</v>
      </c>
      <c r="W4" s="13">
        <f t="shared" si="6"/>
        <v>30.265491900843113</v>
      </c>
      <c r="X4" s="13">
        <f t="shared" si="7"/>
        <v>43.266615305567875</v>
      </c>
      <c r="Y4" s="13">
        <f t="shared" si="8"/>
        <v>17.464249196572979</v>
      </c>
      <c r="Z4">
        <f t="shared" si="9"/>
        <v>30</v>
      </c>
      <c r="AA4">
        <f t="shared" si="10"/>
        <v>46.872166581031863</v>
      </c>
      <c r="AB4">
        <f t="shared" si="11"/>
        <v>48.836461788299118</v>
      </c>
      <c r="AC4">
        <f t="shared" si="12"/>
        <v>52.354560450833695</v>
      </c>
      <c r="AD4">
        <f t="shared" si="13"/>
        <v>93.343451832466528</v>
      </c>
      <c r="AE4">
        <f t="shared" si="14"/>
        <v>103.4842983258813</v>
      </c>
      <c r="AF4">
        <f t="shared" si="15"/>
        <v>83.600239234107462</v>
      </c>
      <c r="AG4">
        <f t="shared" si="16"/>
        <v>94.201910808645493</v>
      </c>
      <c r="AH4">
        <f t="shared" ref="AH4:AH28" si="18">SQRT((($C4-$C$20)^2)+(($D4-$D$20)^2))</f>
        <v>76.295478240849903</v>
      </c>
      <c r="AI4">
        <f t="shared" ref="AI4:AI28" si="19">SQRT((($C4-$C$21)^2)+(($D4-$D$21)^2))</f>
        <v>72.249567472753768</v>
      </c>
      <c r="AJ4">
        <f t="shared" ref="AJ4:AJ28" si="20">SQRT((($C4-$C$22)^2)+(($D4-$D$22)^2))</f>
        <v>152.21038072352357</v>
      </c>
      <c r="AK4">
        <f t="shared" ref="AK4:AK28" si="21">SQRT((($C4-$C$23)^2)+(($D4-$D$23)^2))</f>
        <v>137.13132391981054</v>
      </c>
      <c r="AL4">
        <f t="shared" ref="AL4:AL28" si="22">SQRT((($C4-$C$24)^2)+(($D4-$D$24)^2))</f>
        <v>141.50971698084905</v>
      </c>
      <c r="AM4">
        <f t="shared" ref="AM4:AM28" si="23">SQRT((($C4-$C$25)^2)+(($D4-$D$25)^2))</f>
        <v>130.75167302944922</v>
      </c>
      <c r="AN4">
        <f t="shared" ref="AN4:AN28" si="24">SQRT((($C4-$C$26)^2)+(($D4-$D$26)^2))</f>
        <v>146.87409574189726</v>
      </c>
      <c r="AO4">
        <f t="shared" ref="AO4:AO28" si="25">SQRT((($C4-$C$27)^2)+(($D4-$D$27)^2))</f>
        <v>157.71493271088823</v>
      </c>
      <c r="AP4">
        <f t="shared" si="17"/>
        <v>163.51052114685481</v>
      </c>
    </row>
    <row r="5" spans="1:42">
      <c r="A5" s="42"/>
      <c r="B5" s="45">
        <v>2</v>
      </c>
      <c r="C5">
        <f>Rand!T4</f>
        <v>582677</v>
      </c>
      <c r="D5">
        <f>Rand!U4</f>
        <v>600948</v>
      </c>
      <c r="P5" s="45">
        <v>2</v>
      </c>
      <c r="Q5">
        <f t="shared" si="0"/>
        <v>47.579274964186446</v>
      </c>
      <c r="R5" s="13">
        <f t="shared" si="1"/>
        <v>22.803508501982758</v>
      </c>
      <c r="S5" s="13">
        <f t="shared" si="2"/>
        <v>0</v>
      </c>
      <c r="T5" s="13">
        <f t="shared" si="3"/>
        <v>33.241540277189323</v>
      </c>
      <c r="U5" s="13">
        <f t="shared" si="4"/>
        <v>31.780497164141408</v>
      </c>
      <c r="V5" s="13">
        <f t="shared" si="5"/>
        <v>36.61966684720111</v>
      </c>
      <c r="W5" s="13">
        <f t="shared" si="6"/>
        <v>12.806248474865697</v>
      </c>
      <c r="X5" s="13">
        <f t="shared" si="7"/>
        <v>42.047592083257278</v>
      </c>
      <c r="Y5" s="13">
        <f t="shared" si="8"/>
        <v>34.713109915419565</v>
      </c>
      <c r="Z5">
        <f t="shared" si="9"/>
        <v>30.265491900843113</v>
      </c>
      <c r="AA5">
        <f t="shared" si="10"/>
        <v>45.177427992306072</v>
      </c>
      <c r="AB5">
        <f t="shared" si="11"/>
        <v>62.265560304232388</v>
      </c>
      <c r="AC5">
        <f t="shared" si="12"/>
        <v>52.086466572421671</v>
      </c>
      <c r="AD5">
        <f t="shared" si="13"/>
        <v>103.4456378974</v>
      </c>
      <c r="AE5">
        <f t="shared" si="14"/>
        <v>109.65856099730654</v>
      </c>
      <c r="AF5">
        <f t="shared" si="15"/>
        <v>94.578010129204984</v>
      </c>
      <c r="AG5">
        <f t="shared" si="16"/>
        <v>99.247166206396045</v>
      </c>
      <c r="AH5">
        <f t="shared" si="18"/>
        <v>88.639720216164946</v>
      </c>
      <c r="AI5">
        <f t="shared" si="19"/>
        <v>79.624116949577527</v>
      </c>
      <c r="AJ5">
        <f t="shared" si="20"/>
        <v>160.822883943797</v>
      </c>
      <c r="AK5">
        <f t="shared" si="21"/>
        <v>145.71547618561317</v>
      </c>
      <c r="AL5">
        <f t="shared" si="22"/>
        <v>150.88074761214565</v>
      </c>
      <c r="AM5">
        <f t="shared" si="23"/>
        <v>136.23509092741122</v>
      </c>
      <c r="AN5">
        <f t="shared" si="24"/>
        <v>152.11837495845134</v>
      </c>
      <c r="AO5">
        <f t="shared" si="25"/>
        <v>163.1502375113196</v>
      </c>
      <c r="AP5">
        <f t="shared" si="17"/>
        <v>173.65720671977525</v>
      </c>
    </row>
    <row r="6" spans="1:42">
      <c r="A6" s="42"/>
      <c r="B6" s="45">
        <v>3</v>
      </c>
      <c r="C6">
        <f>Rand!T6</f>
        <v>582653</v>
      </c>
      <c r="D6">
        <f>Rand!U6</f>
        <v>600925</v>
      </c>
      <c r="P6" s="45">
        <v>3</v>
      </c>
      <c r="Q6">
        <f t="shared" si="0"/>
        <v>14.341285371967924</v>
      </c>
      <c r="R6" s="13">
        <f t="shared" si="1"/>
        <v>30.016662039607269</v>
      </c>
      <c r="S6" s="13">
        <f t="shared" si="2"/>
        <v>33.241540277189323</v>
      </c>
      <c r="T6" s="13">
        <f t="shared" si="3"/>
        <v>0</v>
      </c>
      <c r="U6" s="13">
        <f t="shared" si="4"/>
        <v>30.805843601498726</v>
      </c>
      <c r="V6" s="13">
        <f t="shared" si="5"/>
        <v>6.324555320336759</v>
      </c>
      <c r="W6" s="13">
        <f t="shared" si="6"/>
        <v>46.010868281309364</v>
      </c>
      <c r="X6" s="13">
        <f t="shared" si="7"/>
        <v>70.576199954375554</v>
      </c>
      <c r="Y6" s="13">
        <f t="shared" si="8"/>
        <v>47.095647357266465</v>
      </c>
      <c r="Z6">
        <f t="shared" si="9"/>
        <v>57.245087125446844</v>
      </c>
      <c r="AA6">
        <f t="shared" si="10"/>
        <v>74.094534211370814</v>
      </c>
      <c r="AB6">
        <f t="shared" si="11"/>
        <v>78.409183135650636</v>
      </c>
      <c r="AC6">
        <f t="shared" si="12"/>
        <v>80.324342512092812</v>
      </c>
      <c r="AD6">
        <f t="shared" si="13"/>
        <v>123.1990259701756</v>
      </c>
      <c r="AE6">
        <f t="shared" si="14"/>
        <v>133.45411196362591</v>
      </c>
      <c r="AF6">
        <f t="shared" si="15"/>
        <v>113.35784048754634</v>
      </c>
      <c r="AG6">
        <f t="shared" si="16"/>
        <v>124.03628501370073</v>
      </c>
      <c r="AH6">
        <f t="shared" si="18"/>
        <v>105.80170130957252</v>
      </c>
      <c r="AI6">
        <f t="shared" si="19"/>
        <v>102.23991392797629</v>
      </c>
      <c r="AJ6">
        <f t="shared" si="20"/>
        <v>182.13456563760764</v>
      </c>
      <c r="AK6">
        <f t="shared" si="21"/>
        <v>167.0748335327616</v>
      </c>
      <c r="AL6">
        <f t="shared" si="22"/>
        <v>171.35343591536179</v>
      </c>
      <c r="AM6">
        <f t="shared" si="23"/>
        <v>160.70158679988197</v>
      </c>
      <c r="AN6">
        <f t="shared" si="24"/>
        <v>176.81911661356077</v>
      </c>
      <c r="AO6">
        <f t="shared" si="25"/>
        <v>187.68324379123459</v>
      </c>
      <c r="AP6">
        <f t="shared" si="17"/>
        <v>193.17549302567986</v>
      </c>
    </row>
    <row r="7" spans="1:42">
      <c r="A7" s="42"/>
      <c r="B7" s="45">
        <v>4</v>
      </c>
      <c r="C7">
        <f>Rand!T3</f>
        <v>582646</v>
      </c>
      <c r="D7">
        <f>Rand!U3</f>
        <v>600955</v>
      </c>
      <c r="P7" s="45">
        <v>4</v>
      </c>
      <c r="Q7">
        <f t="shared" si="0"/>
        <v>40.313253231670721</v>
      </c>
      <c r="R7" s="13">
        <f t="shared" si="1"/>
        <v>47.010637094172637</v>
      </c>
      <c r="S7" s="13">
        <f t="shared" si="2"/>
        <v>31.780497164141408</v>
      </c>
      <c r="T7" s="13">
        <f t="shared" si="3"/>
        <v>30.805843601498726</v>
      </c>
      <c r="U7" s="13">
        <f t="shared" si="4"/>
        <v>0</v>
      </c>
      <c r="V7" s="13">
        <f t="shared" si="5"/>
        <v>28.0178514522438</v>
      </c>
      <c r="W7" s="13">
        <f t="shared" si="6"/>
        <v>41.012193308819754</v>
      </c>
      <c r="X7" s="13">
        <f t="shared" si="7"/>
        <v>73.17103251970687</v>
      </c>
      <c r="Y7" s="13">
        <f t="shared" si="8"/>
        <v>63.28506932918696</v>
      </c>
      <c r="Z7">
        <f t="shared" si="9"/>
        <v>61.98386886924694</v>
      </c>
      <c r="AA7">
        <f t="shared" si="10"/>
        <v>76.05918747922567</v>
      </c>
      <c r="AB7">
        <f t="shared" si="11"/>
        <v>93.107464792034804</v>
      </c>
      <c r="AC7">
        <f t="shared" si="12"/>
        <v>83.096329642168911</v>
      </c>
      <c r="AD7">
        <f t="shared" si="13"/>
        <v>135.16286472252651</v>
      </c>
      <c r="AE7">
        <f t="shared" si="14"/>
        <v>141.2834031300209</v>
      </c>
      <c r="AF7">
        <f t="shared" si="15"/>
        <v>126.17844506887855</v>
      </c>
      <c r="AG7">
        <f t="shared" si="16"/>
        <v>130.75167302944922</v>
      </c>
      <c r="AH7">
        <f t="shared" si="18"/>
        <v>119.97082978791136</v>
      </c>
      <c r="AI7">
        <f t="shared" si="19"/>
        <v>111.40017953306898</v>
      </c>
      <c r="AJ7">
        <f t="shared" si="20"/>
        <v>192.58764238652489</v>
      </c>
      <c r="AK7">
        <f t="shared" si="21"/>
        <v>177.48521065147935</v>
      </c>
      <c r="AL7">
        <f t="shared" si="22"/>
        <v>182.6608879864543</v>
      </c>
      <c r="AM7">
        <f t="shared" si="23"/>
        <v>167.67229944149989</v>
      </c>
      <c r="AN7">
        <f t="shared" si="24"/>
        <v>183.46116755324545</v>
      </c>
      <c r="AO7">
        <f t="shared" si="25"/>
        <v>194.50449866262733</v>
      </c>
      <c r="AP7">
        <f t="shared" si="17"/>
        <v>205.42350173656564</v>
      </c>
    </row>
    <row r="8" spans="1:42">
      <c r="A8" s="42"/>
      <c r="B8" s="45">
        <v>5</v>
      </c>
      <c r="C8">
        <f>Rand!T7</f>
        <v>582647</v>
      </c>
      <c r="D8">
        <f>Rand!U7</f>
        <v>600927</v>
      </c>
      <c r="P8" s="45">
        <v>5</v>
      </c>
      <c r="Q8">
        <f t="shared" si="0"/>
        <v>12.861381967768008</v>
      </c>
      <c r="R8" s="13">
        <f t="shared" si="1"/>
        <v>36.013886210738214</v>
      </c>
      <c r="S8" s="13">
        <f t="shared" si="2"/>
        <v>36.61966684720111</v>
      </c>
      <c r="T8" s="13">
        <f t="shared" si="3"/>
        <v>6.324555320336759</v>
      </c>
      <c r="U8" s="13">
        <f t="shared" si="4"/>
        <v>28.0178514522438</v>
      </c>
      <c r="V8" s="13">
        <f t="shared" si="5"/>
        <v>0</v>
      </c>
      <c r="W8" s="13">
        <f t="shared" si="6"/>
        <v>49.406477308142499</v>
      </c>
      <c r="X8" s="13">
        <f t="shared" si="7"/>
        <v>75.584389922787622</v>
      </c>
      <c r="Y8" s="13">
        <f t="shared" si="8"/>
        <v>53.235326616824658</v>
      </c>
      <c r="Z8">
        <f t="shared" si="9"/>
        <v>62.361847310675458</v>
      </c>
      <c r="AA8">
        <f t="shared" si="10"/>
        <v>79.05694150420949</v>
      </c>
      <c r="AB8">
        <f t="shared" si="11"/>
        <v>84.593143930226404</v>
      </c>
      <c r="AC8">
        <f t="shared" si="12"/>
        <v>85.440037453175307</v>
      </c>
      <c r="AD8">
        <f t="shared" si="13"/>
        <v>129.31357237351384</v>
      </c>
      <c r="AE8">
        <f t="shared" si="14"/>
        <v>139.29106216839614</v>
      </c>
      <c r="AF8">
        <f t="shared" si="15"/>
        <v>119.50732195141852</v>
      </c>
      <c r="AG8">
        <f t="shared" si="16"/>
        <v>129.75746606650424</v>
      </c>
      <c r="AH8">
        <f t="shared" si="18"/>
        <v>112.00892821556681</v>
      </c>
      <c r="AI8">
        <f t="shared" si="19"/>
        <v>108.11567878897121</v>
      </c>
      <c r="AJ8">
        <f t="shared" si="20"/>
        <v>188.21530224718711</v>
      </c>
      <c r="AK8">
        <f t="shared" si="21"/>
        <v>173.1415605797753</v>
      </c>
      <c r="AL8">
        <f t="shared" si="22"/>
        <v>177.47675904185314</v>
      </c>
      <c r="AM8">
        <f t="shared" si="23"/>
        <v>166.50825805346713</v>
      </c>
      <c r="AN8">
        <f t="shared" si="24"/>
        <v>182.61708572858126</v>
      </c>
      <c r="AO8">
        <f t="shared" si="25"/>
        <v>193.50710581268069</v>
      </c>
      <c r="AP8">
        <f t="shared" si="17"/>
        <v>199.3600502249989</v>
      </c>
    </row>
    <row r="9" spans="1:42">
      <c r="A9" s="42"/>
      <c r="B9" s="45">
        <v>6</v>
      </c>
      <c r="C9">
        <f>Rand!T2</f>
        <v>582687</v>
      </c>
      <c r="D9">
        <f>Rand!U2</f>
        <v>600956</v>
      </c>
      <c r="P9" s="45">
        <v>6</v>
      </c>
      <c r="Q9">
        <f t="shared" si="0"/>
        <v>60.337672196701448</v>
      </c>
      <c r="R9" s="13">
        <f t="shared" si="1"/>
        <v>30.265491900843113</v>
      </c>
      <c r="S9" s="13">
        <f t="shared" si="2"/>
        <v>12.806248474865697</v>
      </c>
      <c r="T9" s="13">
        <f t="shared" si="3"/>
        <v>46.010868281309364</v>
      </c>
      <c r="U9" s="13">
        <f t="shared" si="4"/>
        <v>41.012193308819754</v>
      </c>
      <c r="V9" s="13">
        <f t="shared" si="5"/>
        <v>49.406477308142499</v>
      </c>
      <c r="W9" s="13">
        <f t="shared" si="6"/>
        <v>0</v>
      </c>
      <c r="X9" s="13">
        <f t="shared" si="7"/>
        <v>32.557641192199412</v>
      </c>
      <c r="Y9" s="13">
        <f t="shared" si="8"/>
        <v>36.400549446402593</v>
      </c>
      <c r="Z9">
        <f t="shared" si="9"/>
        <v>23.323807579381203</v>
      </c>
      <c r="AA9">
        <f t="shared" si="10"/>
        <v>35.227829907617071</v>
      </c>
      <c r="AB9">
        <f t="shared" si="11"/>
        <v>58.796258384356399</v>
      </c>
      <c r="AC9">
        <f t="shared" si="12"/>
        <v>42.296571965113202</v>
      </c>
      <c r="AD9">
        <f t="shared" si="13"/>
        <v>96.772930099279307</v>
      </c>
      <c r="AE9">
        <f t="shared" si="14"/>
        <v>101</v>
      </c>
      <c r="AF9">
        <f t="shared" si="15"/>
        <v>88.549421229051518</v>
      </c>
      <c r="AG9">
        <f t="shared" si="16"/>
        <v>90.255193756370602</v>
      </c>
      <c r="AH9">
        <f t="shared" si="18"/>
        <v>83.52843827104634</v>
      </c>
      <c r="AI9">
        <f t="shared" si="19"/>
        <v>72.111025509279784</v>
      </c>
      <c r="AJ9">
        <f t="shared" si="20"/>
        <v>152.80052355931247</v>
      </c>
      <c r="AK9">
        <f t="shared" si="21"/>
        <v>137.78606605894515</v>
      </c>
      <c r="AL9">
        <f t="shared" si="22"/>
        <v>143.29340529138108</v>
      </c>
      <c r="AM9">
        <f t="shared" si="23"/>
        <v>127.01181047445942</v>
      </c>
      <c r="AN9">
        <f t="shared" si="24"/>
        <v>142.68847185389575</v>
      </c>
      <c r="AO9">
        <f t="shared" si="25"/>
        <v>153.73353570382747</v>
      </c>
      <c r="AP9">
        <f t="shared" si="17"/>
        <v>166.31124798315636</v>
      </c>
    </row>
    <row r="10" spans="1:42">
      <c r="A10" s="42"/>
      <c r="B10" s="45">
        <v>7</v>
      </c>
      <c r="C10">
        <f>Rand!T13</f>
        <v>582719</v>
      </c>
      <c r="D10">
        <f>Rand!U13</f>
        <v>600950</v>
      </c>
      <c r="P10" s="45">
        <v>7</v>
      </c>
      <c r="Q10">
        <f t="shared" si="0"/>
        <v>83.832132300886528</v>
      </c>
      <c r="R10" s="13">
        <f t="shared" si="1"/>
        <v>43.266615305567875</v>
      </c>
      <c r="S10" s="13">
        <f t="shared" si="2"/>
        <v>42.047592083257278</v>
      </c>
      <c r="T10" s="13">
        <f t="shared" si="3"/>
        <v>70.576199954375554</v>
      </c>
      <c r="U10" s="13">
        <f t="shared" si="4"/>
        <v>73.17103251970687</v>
      </c>
      <c r="V10" s="13">
        <f t="shared" si="5"/>
        <v>75.584389922787622</v>
      </c>
      <c r="W10" s="13">
        <f t="shared" si="6"/>
        <v>32.557641192199412</v>
      </c>
      <c r="X10" s="13">
        <f t="shared" si="7"/>
        <v>0</v>
      </c>
      <c r="Y10" s="13">
        <f t="shared" si="8"/>
        <v>33.837848631377263</v>
      </c>
      <c r="Z10">
        <f t="shared" si="9"/>
        <v>13.416407864998739</v>
      </c>
      <c r="AA10">
        <f t="shared" si="10"/>
        <v>3.6055512754639891</v>
      </c>
      <c r="AB10">
        <f t="shared" si="11"/>
        <v>35.114099732158877</v>
      </c>
      <c r="AC10">
        <f t="shared" si="12"/>
        <v>10.04987562112089</v>
      </c>
      <c r="AD10">
        <f t="shared" si="13"/>
        <v>65.36818798161687</v>
      </c>
      <c r="AE10">
        <f t="shared" si="14"/>
        <v>68.447059834590405</v>
      </c>
      <c r="AF10">
        <f t="shared" si="15"/>
        <v>58.008620049092706</v>
      </c>
      <c r="AG10">
        <f t="shared" si="16"/>
        <v>57.706152185014034</v>
      </c>
      <c r="AH10">
        <f t="shared" si="18"/>
        <v>54.451813560247928</v>
      </c>
      <c r="AI10">
        <f t="shared" si="19"/>
        <v>40.249223594996216</v>
      </c>
      <c r="AJ10">
        <f t="shared" si="20"/>
        <v>120.33287165193059</v>
      </c>
      <c r="AK10">
        <f t="shared" si="21"/>
        <v>105.3612832116238</v>
      </c>
      <c r="AL10">
        <f t="shared" si="22"/>
        <v>111</v>
      </c>
      <c r="AM10">
        <f t="shared" si="23"/>
        <v>94.530418384771792</v>
      </c>
      <c r="AN10">
        <f t="shared" si="24"/>
        <v>110.2905254316979</v>
      </c>
      <c r="AO10">
        <f t="shared" si="25"/>
        <v>121.33424908079334</v>
      </c>
      <c r="AP10">
        <f t="shared" si="17"/>
        <v>134.09995125173208</v>
      </c>
    </row>
    <row r="11" spans="1:42">
      <c r="A11" s="42"/>
      <c r="B11" s="45">
        <v>8</v>
      </c>
      <c r="C11">
        <f>Rand!T10</f>
        <v>582700</v>
      </c>
      <c r="D11">
        <f>Rand!U10</f>
        <v>600922</v>
      </c>
      <c r="P11" s="45">
        <v>8</v>
      </c>
      <c r="Q11">
        <f t="shared" si="0"/>
        <v>57.538042772720488</v>
      </c>
      <c r="R11" s="13">
        <f t="shared" si="1"/>
        <v>17.464249196572979</v>
      </c>
      <c r="S11" s="13">
        <f t="shared" si="2"/>
        <v>34.713109915419565</v>
      </c>
      <c r="T11" s="13">
        <f t="shared" si="3"/>
        <v>47.095647357266465</v>
      </c>
      <c r="U11" s="13">
        <f t="shared" si="4"/>
        <v>63.28506932918696</v>
      </c>
      <c r="V11" s="13">
        <f t="shared" si="5"/>
        <v>53.235326616824658</v>
      </c>
      <c r="W11" s="13">
        <f t="shared" si="6"/>
        <v>36.400549446402593</v>
      </c>
      <c r="X11" s="13">
        <f t="shared" si="7"/>
        <v>33.837848631377263</v>
      </c>
      <c r="Y11" s="13">
        <f t="shared" si="8"/>
        <v>0</v>
      </c>
      <c r="Z11">
        <f t="shared" si="9"/>
        <v>23.086792761230392</v>
      </c>
      <c r="AA11">
        <f t="shared" si="10"/>
        <v>37.20215047547655</v>
      </c>
      <c r="AB11">
        <f t="shared" si="11"/>
        <v>31.400636936215164</v>
      </c>
      <c r="AC11">
        <f t="shared" si="12"/>
        <v>41.012193308819754</v>
      </c>
      <c r="AD11">
        <f t="shared" si="13"/>
        <v>76.105190361761785</v>
      </c>
      <c r="AE11">
        <f t="shared" si="14"/>
        <v>87.13208364316786</v>
      </c>
      <c r="AF11">
        <f t="shared" si="15"/>
        <v>66.272166103123567</v>
      </c>
      <c r="AG11">
        <f t="shared" si="16"/>
        <v>78.339006886735547</v>
      </c>
      <c r="AH11">
        <f t="shared" si="18"/>
        <v>58.855755878248644</v>
      </c>
      <c r="AI11">
        <f t="shared" si="19"/>
        <v>55.901699437494742</v>
      </c>
      <c r="AJ11">
        <f t="shared" si="20"/>
        <v>135.05924625881784</v>
      </c>
      <c r="AK11">
        <f t="shared" si="21"/>
        <v>120.01666550941998</v>
      </c>
      <c r="AL11">
        <f t="shared" si="22"/>
        <v>124.25779653607253</v>
      </c>
      <c r="AM11">
        <f t="shared" si="23"/>
        <v>114.42464769445436</v>
      </c>
      <c r="AN11">
        <f t="shared" si="24"/>
        <v>130.54118124178285</v>
      </c>
      <c r="AO11">
        <f t="shared" si="25"/>
        <v>141.2834031300209</v>
      </c>
      <c r="AP11">
        <f t="shared" si="17"/>
        <v>146.13959451742411</v>
      </c>
    </row>
    <row r="12" spans="1:42">
      <c r="A12" s="42"/>
      <c r="B12" s="45">
        <v>9</v>
      </c>
      <c r="C12">
        <f>Rand!T8</f>
        <v>582707</v>
      </c>
      <c r="D12">
        <f>Rand!U8</f>
        <v>600944</v>
      </c>
      <c r="P12" s="45">
        <v>9</v>
      </c>
      <c r="Q12">
        <f t="shared" si="0"/>
        <v>70.423101082773954</v>
      </c>
      <c r="R12">
        <f t="shared" si="1"/>
        <v>30</v>
      </c>
      <c r="S12">
        <f t="shared" si="2"/>
        <v>30.265491900843113</v>
      </c>
      <c r="T12">
        <f t="shared" si="3"/>
        <v>57.245087125446844</v>
      </c>
      <c r="U12">
        <f t="shared" si="4"/>
        <v>61.98386886924694</v>
      </c>
      <c r="V12">
        <f t="shared" si="5"/>
        <v>62.361847310675458</v>
      </c>
      <c r="W12">
        <f t="shared" si="6"/>
        <v>23.323807579381203</v>
      </c>
      <c r="X12">
        <f t="shared" si="7"/>
        <v>13.416407864998739</v>
      </c>
      <c r="Y12">
        <f t="shared" si="8"/>
        <v>23.086792761230392</v>
      </c>
      <c r="Z12">
        <f t="shared" si="9"/>
        <v>0</v>
      </c>
      <c r="AA12">
        <f t="shared" si="10"/>
        <v>17</v>
      </c>
      <c r="AB12">
        <f t="shared" si="11"/>
        <v>36.124783736376884</v>
      </c>
      <c r="AC12">
        <f t="shared" si="12"/>
        <v>23.086792761230392</v>
      </c>
      <c r="AD12">
        <f t="shared" si="13"/>
        <v>73.736015623303103</v>
      </c>
      <c r="AE12">
        <f t="shared" si="14"/>
        <v>79.404030124421269</v>
      </c>
      <c r="AF12">
        <f t="shared" si="15"/>
        <v>65.30696746902278</v>
      </c>
      <c r="AG12">
        <f t="shared" si="16"/>
        <v>69.06518659932803</v>
      </c>
      <c r="AH12">
        <f t="shared" si="18"/>
        <v>60.207972893961475</v>
      </c>
      <c r="AI12">
        <f t="shared" si="19"/>
        <v>49.477267507411923</v>
      </c>
      <c r="AJ12">
        <f t="shared" si="20"/>
        <v>130.61393493804556</v>
      </c>
      <c r="AK12">
        <f t="shared" si="21"/>
        <v>115.52056094046635</v>
      </c>
      <c r="AL12">
        <f t="shared" si="22"/>
        <v>120.78493283518438</v>
      </c>
      <c r="AM12">
        <f t="shared" si="23"/>
        <v>106.07544484940895</v>
      </c>
      <c r="AN12">
        <f t="shared" si="24"/>
        <v>122.01639234135715</v>
      </c>
      <c r="AO12">
        <f t="shared" si="25"/>
        <v>133.0338302838793</v>
      </c>
      <c r="AP12">
        <f t="shared" si="17"/>
        <v>143.66410743716239</v>
      </c>
    </row>
    <row r="13" spans="1:42">
      <c r="A13" s="42"/>
      <c r="B13" s="45">
        <v>10</v>
      </c>
      <c r="C13">
        <f>Rand!T12</f>
        <v>582722</v>
      </c>
      <c r="D13">
        <f>Rand!U12</f>
        <v>600952</v>
      </c>
      <c r="P13" s="45">
        <v>10</v>
      </c>
      <c r="Q13">
        <f t="shared" si="0"/>
        <v>87.396365176779668</v>
      </c>
      <c r="R13" s="13">
        <f t="shared" si="1"/>
        <v>46.872166581031863</v>
      </c>
      <c r="S13" s="13">
        <f t="shared" si="2"/>
        <v>45.177427992306072</v>
      </c>
      <c r="T13" s="13">
        <f t="shared" si="3"/>
        <v>74.094534211370814</v>
      </c>
      <c r="U13" s="13">
        <f t="shared" si="4"/>
        <v>76.05918747922567</v>
      </c>
      <c r="V13" s="13">
        <f t="shared" si="5"/>
        <v>79.05694150420949</v>
      </c>
      <c r="W13" s="13">
        <f t="shared" si="6"/>
        <v>35.227829907617071</v>
      </c>
      <c r="X13" s="13">
        <f t="shared" si="7"/>
        <v>3.6055512754639891</v>
      </c>
      <c r="Y13" s="13">
        <f t="shared" si="8"/>
        <v>37.20215047547655</v>
      </c>
      <c r="Z13">
        <f t="shared" si="9"/>
        <v>17</v>
      </c>
      <c r="AA13">
        <f t="shared" si="10"/>
        <v>0</v>
      </c>
      <c r="AB13">
        <f t="shared" si="11"/>
        <v>36.138621999185304</v>
      </c>
      <c r="AC13">
        <f t="shared" si="12"/>
        <v>7.0710678118654755</v>
      </c>
      <c r="AD13">
        <f t="shared" si="13"/>
        <v>63.812224534175265</v>
      </c>
      <c r="AE13">
        <f t="shared" si="14"/>
        <v>65.969690009882569</v>
      </c>
      <c r="AF13">
        <f t="shared" si="15"/>
        <v>56.850681614207581</v>
      </c>
      <c r="AG13">
        <f t="shared" si="16"/>
        <v>55.108982933819419</v>
      </c>
      <c r="AH13">
        <f t="shared" si="18"/>
        <v>53.814496188294839</v>
      </c>
      <c r="AI13">
        <f t="shared" si="19"/>
        <v>38.587562763149478</v>
      </c>
      <c r="AJ13">
        <f t="shared" si="20"/>
        <v>118.00423721205946</v>
      </c>
      <c r="AK13">
        <f t="shared" si="21"/>
        <v>103.09219175087898</v>
      </c>
      <c r="AL13">
        <f t="shared" si="22"/>
        <v>108.84851859350222</v>
      </c>
      <c r="AM13">
        <f t="shared" si="23"/>
        <v>91.787798753429101</v>
      </c>
      <c r="AN13">
        <f t="shared" si="24"/>
        <v>107.46627377926528</v>
      </c>
      <c r="AO13">
        <f t="shared" si="25"/>
        <v>118.51160280748886</v>
      </c>
      <c r="AP13">
        <f t="shared" si="17"/>
        <v>131.99389806243693</v>
      </c>
    </row>
    <row r="14" spans="1:42">
      <c r="A14" s="42"/>
      <c r="B14" s="45">
        <v>11</v>
      </c>
      <c r="C14">
        <f>Rand!T9</f>
        <v>582731</v>
      </c>
      <c r="D14">
        <f>Rand!U9</f>
        <v>600917</v>
      </c>
      <c r="P14" s="45">
        <v>11</v>
      </c>
      <c r="Q14">
        <f t="shared" si="0"/>
        <v>88.113762296886705</v>
      </c>
      <c r="R14" s="13">
        <f t="shared" si="1"/>
        <v>48.836461788299118</v>
      </c>
      <c r="S14" s="13">
        <f t="shared" si="2"/>
        <v>62.265560304232388</v>
      </c>
      <c r="T14" s="13">
        <f t="shared" si="3"/>
        <v>78.409183135650636</v>
      </c>
      <c r="U14" s="13">
        <f t="shared" si="4"/>
        <v>93.107464792034804</v>
      </c>
      <c r="V14" s="13">
        <f t="shared" si="5"/>
        <v>84.593143930226404</v>
      </c>
      <c r="W14" s="13">
        <f t="shared" si="6"/>
        <v>58.796258384356399</v>
      </c>
      <c r="X14" s="13">
        <f t="shared" si="7"/>
        <v>35.114099732158877</v>
      </c>
      <c r="Y14" s="13">
        <f t="shared" si="8"/>
        <v>31.400636936215164</v>
      </c>
      <c r="Z14">
        <f t="shared" si="9"/>
        <v>36.124783736376884</v>
      </c>
      <c r="AA14">
        <f t="shared" si="10"/>
        <v>36.138621999185304</v>
      </c>
      <c r="AB14">
        <f t="shared" si="11"/>
        <v>0</v>
      </c>
      <c r="AC14">
        <f t="shared" si="12"/>
        <v>34.058772731852805</v>
      </c>
      <c r="AD14">
        <f t="shared" si="13"/>
        <v>45.011109739707599</v>
      </c>
      <c r="AE14">
        <f t="shared" si="14"/>
        <v>58.189346103904619</v>
      </c>
      <c r="AF14">
        <f t="shared" si="15"/>
        <v>35.014282800023196</v>
      </c>
      <c r="AG14">
        <f t="shared" si="16"/>
        <v>51</v>
      </c>
      <c r="AH14">
        <f t="shared" si="18"/>
        <v>27.459060435491963</v>
      </c>
      <c r="AI14">
        <f t="shared" si="19"/>
        <v>28.301943396169811</v>
      </c>
      <c r="AJ14">
        <f t="shared" si="20"/>
        <v>104.00480758118829</v>
      </c>
      <c r="AK14">
        <f t="shared" si="21"/>
        <v>89.050547443572739</v>
      </c>
      <c r="AL14">
        <f t="shared" si="22"/>
        <v>93.048374515624943</v>
      </c>
      <c r="AM14">
        <f t="shared" si="23"/>
        <v>85.164546614186818</v>
      </c>
      <c r="AN14">
        <f t="shared" si="24"/>
        <v>101.13851887386922</v>
      </c>
      <c r="AO14">
        <f t="shared" si="25"/>
        <v>111.61093136427094</v>
      </c>
      <c r="AP14">
        <f t="shared" si="17"/>
        <v>114.76819727485061</v>
      </c>
    </row>
    <row r="15" spans="1:42">
      <c r="A15" s="42"/>
      <c r="B15" s="45">
        <v>12</v>
      </c>
      <c r="C15">
        <f>Rand!T11</f>
        <v>582729</v>
      </c>
      <c r="D15">
        <f>Rand!U11</f>
        <v>600951</v>
      </c>
      <c r="P15" s="45">
        <v>12</v>
      </c>
      <c r="Q15">
        <f t="shared" si="0"/>
        <v>93.385998233741176</v>
      </c>
      <c r="R15" s="13">
        <f t="shared" si="1"/>
        <v>52.354560450833695</v>
      </c>
      <c r="S15" s="13">
        <f t="shared" si="2"/>
        <v>52.086466572421671</v>
      </c>
      <c r="T15" s="13">
        <f t="shared" si="3"/>
        <v>80.324342512092812</v>
      </c>
      <c r="U15" s="13">
        <f t="shared" si="4"/>
        <v>83.096329642168911</v>
      </c>
      <c r="V15" s="13">
        <f t="shared" si="5"/>
        <v>85.440037453175307</v>
      </c>
      <c r="W15" s="13">
        <f t="shared" si="6"/>
        <v>42.296571965113202</v>
      </c>
      <c r="X15" s="13">
        <f t="shared" si="7"/>
        <v>10.04987562112089</v>
      </c>
      <c r="Y15" s="13">
        <f t="shared" si="8"/>
        <v>41.012193308819754</v>
      </c>
      <c r="Z15">
        <f t="shared" si="9"/>
        <v>23.086792761230392</v>
      </c>
      <c r="AA15">
        <f t="shared" si="10"/>
        <v>7.0710678118654755</v>
      </c>
      <c r="AB15">
        <f t="shared" si="11"/>
        <v>34.058772731852805</v>
      </c>
      <c r="AC15">
        <f t="shared" si="12"/>
        <v>0</v>
      </c>
      <c r="AD15">
        <f t="shared" si="13"/>
        <v>57.428216061444921</v>
      </c>
      <c r="AE15">
        <f t="shared" si="14"/>
        <v>58.940648113165501</v>
      </c>
      <c r="AF15">
        <f t="shared" si="15"/>
        <v>50.931326312987373</v>
      </c>
      <c r="AG15">
        <f t="shared" si="16"/>
        <v>48.052055106935853</v>
      </c>
      <c r="AH15">
        <f t="shared" si="18"/>
        <v>48.60041152089147</v>
      </c>
      <c r="AI15">
        <f t="shared" si="19"/>
        <v>32.202484376209235</v>
      </c>
      <c r="AJ15">
        <f t="shared" si="20"/>
        <v>111.01801655587259</v>
      </c>
      <c r="AK15">
        <f t="shared" si="21"/>
        <v>96.135321292436529</v>
      </c>
      <c r="AL15">
        <f t="shared" si="22"/>
        <v>101.95096860746347</v>
      </c>
      <c r="AM15">
        <f t="shared" si="23"/>
        <v>84.717176534631989</v>
      </c>
      <c r="AN15">
        <f t="shared" si="24"/>
        <v>100.40418317978589</v>
      </c>
      <c r="AO15">
        <f t="shared" si="25"/>
        <v>111.44954015158609</v>
      </c>
      <c r="AP15">
        <f t="shared" si="17"/>
        <v>125.11628968970192</v>
      </c>
    </row>
    <row r="16" spans="1:42">
      <c r="A16" s="42"/>
      <c r="B16" s="45">
        <v>13</v>
      </c>
      <c r="C16">
        <f>Rand!T18</f>
        <v>582776</v>
      </c>
      <c r="D16">
        <f>Rand!U18</f>
        <v>600918</v>
      </c>
      <c r="P16" s="45">
        <v>13</v>
      </c>
      <c r="Q16">
        <f t="shared" si="0"/>
        <v>133.12476391005407</v>
      </c>
      <c r="R16" s="13">
        <f t="shared" si="1"/>
        <v>93.343451832466528</v>
      </c>
      <c r="S16" s="13">
        <f t="shared" si="2"/>
        <v>103.4456378974</v>
      </c>
      <c r="T16" s="13">
        <f t="shared" si="3"/>
        <v>123.1990259701756</v>
      </c>
      <c r="U16" s="13">
        <f t="shared" si="4"/>
        <v>135.16286472252651</v>
      </c>
      <c r="V16" s="13">
        <f t="shared" si="5"/>
        <v>129.31357237351384</v>
      </c>
      <c r="W16" s="13">
        <f t="shared" si="6"/>
        <v>96.772930099279307</v>
      </c>
      <c r="X16" s="13">
        <f t="shared" si="7"/>
        <v>65.36818798161687</v>
      </c>
      <c r="Y16" s="13">
        <f t="shared" si="8"/>
        <v>76.105190361761785</v>
      </c>
      <c r="Z16">
        <f t="shared" si="9"/>
        <v>73.736015623303103</v>
      </c>
      <c r="AA16">
        <f t="shared" si="10"/>
        <v>63.812224534175265</v>
      </c>
      <c r="AB16">
        <f t="shared" si="11"/>
        <v>45.011109739707599</v>
      </c>
      <c r="AC16">
        <f t="shared" si="12"/>
        <v>57.428216061444921</v>
      </c>
      <c r="AD16">
        <f t="shared" si="13"/>
        <v>0</v>
      </c>
      <c r="AE16">
        <f t="shared" si="14"/>
        <v>20.591260281974002</v>
      </c>
      <c r="AF16">
        <f t="shared" si="15"/>
        <v>10.198039027185569</v>
      </c>
      <c r="AG16">
        <f t="shared" si="16"/>
        <v>23</v>
      </c>
      <c r="AH16">
        <f t="shared" si="18"/>
        <v>18.973665961010276</v>
      </c>
      <c r="AI16">
        <f t="shared" si="19"/>
        <v>25.238858928247925</v>
      </c>
      <c r="AJ16">
        <f t="shared" si="20"/>
        <v>59</v>
      </c>
      <c r="AK16">
        <f t="shared" si="21"/>
        <v>44.045431091090478</v>
      </c>
      <c r="AL16">
        <f t="shared" si="22"/>
        <v>48.166378315169183</v>
      </c>
      <c r="AM16">
        <f t="shared" si="23"/>
        <v>43.046486500061768</v>
      </c>
      <c r="AN16">
        <f t="shared" si="24"/>
        <v>58.180752831155424</v>
      </c>
      <c r="AO16">
        <f t="shared" si="25"/>
        <v>68.007352543677214</v>
      </c>
      <c r="AP16">
        <f t="shared" si="17"/>
        <v>70.412224263414586</v>
      </c>
    </row>
    <row r="17" spans="1:42">
      <c r="A17" s="42"/>
      <c r="B17" s="45">
        <v>14</v>
      </c>
      <c r="C17">
        <f>Rand!T14</f>
        <v>582786</v>
      </c>
      <c r="D17">
        <f>Rand!U14</f>
        <v>600936</v>
      </c>
      <c r="P17" s="45">
        <v>14</v>
      </c>
      <c r="Q17">
        <f t="shared" si="0"/>
        <v>144.64767072478745</v>
      </c>
      <c r="R17" s="13">
        <f t="shared" si="1"/>
        <v>103.4842983258813</v>
      </c>
      <c r="S17" s="13">
        <f t="shared" si="2"/>
        <v>109.65856099730654</v>
      </c>
      <c r="T17" s="13">
        <f t="shared" si="3"/>
        <v>133.45411196362591</v>
      </c>
      <c r="U17" s="13">
        <f t="shared" si="4"/>
        <v>141.2834031300209</v>
      </c>
      <c r="V17" s="13">
        <f t="shared" si="5"/>
        <v>139.29106216839614</v>
      </c>
      <c r="W17" s="13">
        <f t="shared" si="6"/>
        <v>101</v>
      </c>
      <c r="X17" s="13">
        <f t="shared" si="7"/>
        <v>68.447059834590405</v>
      </c>
      <c r="Y17" s="13">
        <f t="shared" si="8"/>
        <v>87.13208364316786</v>
      </c>
      <c r="Z17">
        <f t="shared" si="9"/>
        <v>79.404030124421269</v>
      </c>
      <c r="AA17">
        <f t="shared" si="10"/>
        <v>65.969690009882569</v>
      </c>
      <c r="AB17">
        <f t="shared" si="11"/>
        <v>58.189346103904619</v>
      </c>
      <c r="AC17">
        <f t="shared" si="12"/>
        <v>58.940648113165501</v>
      </c>
      <c r="AD17">
        <f t="shared" si="13"/>
        <v>20.591260281974002</v>
      </c>
      <c r="AE17">
        <f t="shared" si="14"/>
        <v>0</v>
      </c>
      <c r="AF17">
        <f t="shared" si="15"/>
        <v>28.284271247461902</v>
      </c>
      <c r="AG17">
        <f t="shared" si="16"/>
        <v>11.180339887498949</v>
      </c>
      <c r="AH17">
        <f t="shared" si="18"/>
        <v>36.878177829171548</v>
      </c>
      <c r="AI17">
        <f t="shared" si="19"/>
        <v>31.256999216175569</v>
      </c>
      <c r="AJ17">
        <f t="shared" si="20"/>
        <v>52.201532544552748</v>
      </c>
      <c r="AK17">
        <f t="shared" si="21"/>
        <v>37.576588456111871</v>
      </c>
      <c r="AL17">
        <f t="shared" si="22"/>
        <v>43.908996800200299</v>
      </c>
      <c r="AM17">
        <f t="shared" si="23"/>
        <v>27.294688127912362</v>
      </c>
      <c r="AN17">
        <f t="shared" si="24"/>
        <v>43.416586692184822</v>
      </c>
      <c r="AO17">
        <f t="shared" si="25"/>
        <v>54.230987451824994</v>
      </c>
      <c r="AP17">
        <f t="shared" si="17"/>
        <v>67.046441260674882</v>
      </c>
    </row>
    <row r="18" spans="1:42">
      <c r="A18" s="42"/>
      <c r="B18" s="45">
        <v>15</v>
      </c>
      <c r="C18">
        <f>Rand!T15</f>
        <v>582766</v>
      </c>
      <c r="D18">
        <f>Rand!U15</f>
        <v>600916</v>
      </c>
      <c r="P18" s="45">
        <v>15</v>
      </c>
      <c r="Q18">
        <f t="shared" si="0"/>
        <v>123.09222008765894</v>
      </c>
      <c r="R18" s="13">
        <f t="shared" si="1"/>
        <v>83.600239234107462</v>
      </c>
      <c r="S18" s="13">
        <f t="shared" si="2"/>
        <v>94.578010129204984</v>
      </c>
      <c r="T18" s="13">
        <f t="shared" si="3"/>
        <v>113.35784048754634</v>
      </c>
      <c r="U18" s="13">
        <f t="shared" si="4"/>
        <v>126.17844506887855</v>
      </c>
      <c r="V18" s="13">
        <f t="shared" si="5"/>
        <v>119.50732195141852</v>
      </c>
      <c r="W18" s="13">
        <f t="shared" si="6"/>
        <v>88.549421229051518</v>
      </c>
      <c r="X18" s="13">
        <f t="shared" si="7"/>
        <v>58.008620049092706</v>
      </c>
      <c r="Y18" s="13">
        <f t="shared" si="8"/>
        <v>66.272166103123567</v>
      </c>
      <c r="Z18">
        <f t="shared" si="9"/>
        <v>65.30696746902278</v>
      </c>
      <c r="AA18">
        <f t="shared" si="10"/>
        <v>56.850681614207581</v>
      </c>
      <c r="AB18">
        <f t="shared" si="11"/>
        <v>35.014282800023196</v>
      </c>
      <c r="AC18">
        <f t="shared" si="12"/>
        <v>50.931326312987373</v>
      </c>
      <c r="AD18">
        <f t="shared" si="13"/>
        <v>10.198039027185569</v>
      </c>
      <c r="AE18">
        <f t="shared" si="14"/>
        <v>28.284271247461902</v>
      </c>
      <c r="AF18">
        <f t="shared" si="15"/>
        <v>0</v>
      </c>
      <c r="AG18">
        <f t="shared" si="16"/>
        <v>26.92582403567252</v>
      </c>
      <c r="AH18">
        <f t="shared" si="18"/>
        <v>8.9442719099991592</v>
      </c>
      <c r="AI18">
        <f t="shared" si="19"/>
        <v>19.416487838947599</v>
      </c>
      <c r="AJ18">
        <f t="shared" si="20"/>
        <v>69.028979421689272</v>
      </c>
      <c r="AK18">
        <f t="shared" si="21"/>
        <v>54.147945482723536</v>
      </c>
      <c r="AL18">
        <f t="shared" si="22"/>
        <v>58.034472514187634</v>
      </c>
      <c r="AM18">
        <f t="shared" si="23"/>
        <v>52.773099207835045</v>
      </c>
      <c r="AN18">
        <f t="shared" si="24"/>
        <v>68.154236845554948</v>
      </c>
      <c r="AO18">
        <f t="shared" si="25"/>
        <v>78.108898340714035</v>
      </c>
      <c r="AP18">
        <f t="shared" si="17"/>
        <v>79.925706038301243</v>
      </c>
    </row>
    <row r="19" spans="1:42">
      <c r="A19" s="42"/>
      <c r="B19" s="45">
        <v>16</v>
      </c>
      <c r="C19">
        <f>Rand!T17</f>
        <v>582776</v>
      </c>
      <c r="D19">
        <f>Rand!U17</f>
        <v>600941</v>
      </c>
      <c r="P19" s="45">
        <v>16</v>
      </c>
      <c r="Q19">
        <f t="shared" si="0"/>
        <v>135.63985235212965</v>
      </c>
      <c r="R19" s="13">
        <f t="shared" si="1"/>
        <v>94.201910808645493</v>
      </c>
      <c r="S19" s="13">
        <f t="shared" si="2"/>
        <v>99.247166206396045</v>
      </c>
      <c r="T19" s="13">
        <f t="shared" si="3"/>
        <v>124.03628501370073</v>
      </c>
      <c r="U19" s="13">
        <f t="shared" si="4"/>
        <v>130.75167302944922</v>
      </c>
      <c r="V19" s="13">
        <f t="shared" si="5"/>
        <v>129.75746606650424</v>
      </c>
      <c r="W19" s="13">
        <f t="shared" si="6"/>
        <v>90.255193756370602</v>
      </c>
      <c r="X19" s="13">
        <f t="shared" si="7"/>
        <v>57.706152185014034</v>
      </c>
      <c r="Y19" s="13">
        <f t="shared" si="8"/>
        <v>78.339006886735547</v>
      </c>
      <c r="Z19">
        <f t="shared" si="9"/>
        <v>69.06518659932803</v>
      </c>
      <c r="AA19">
        <f t="shared" si="10"/>
        <v>55.108982933819419</v>
      </c>
      <c r="AB19">
        <f t="shared" si="11"/>
        <v>51</v>
      </c>
      <c r="AC19">
        <f t="shared" si="12"/>
        <v>48.052055106935853</v>
      </c>
      <c r="AD19">
        <f t="shared" si="13"/>
        <v>23</v>
      </c>
      <c r="AE19">
        <f t="shared" si="14"/>
        <v>11.180339887498949</v>
      </c>
      <c r="AF19">
        <f t="shared" si="15"/>
        <v>26.92582403567252</v>
      </c>
      <c r="AG19">
        <f t="shared" si="16"/>
        <v>0</v>
      </c>
      <c r="AH19">
        <f t="shared" si="18"/>
        <v>34.132096331752024</v>
      </c>
      <c r="AI19">
        <f t="shared" si="19"/>
        <v>22.847319317591726</v>
      </c>
      <c r="AJ19">
        <f t="shared" si="20"/>
        <v>63.324560795950255</v>
      </c>
      <c r="AK19">
        <f t="shared" si="21"/>
        <v>48.754486972995622</v>
      </c>
      <c r="AL19">
        <f t="shared" si="22"/>
        <v>55.072679252057455</v>
      </c>
      <c r="AM19">
        <f t="shared" si="23"/>
        <v>37.013511046643494</v>
      </c>
      <c r="AN19">
        <f t="shared" si="24"/>
        <v>53.009433122794285</v>
      </c>
      <c r="AO19">
        <f t="shared" si="25"/>
        <v>64</v>
      </c>
      <c r="AP19">
        <f t="shared" si="17"/>
        <v>78.222625791521267</v>
      </c>
    </row>
    <row r="20" spans="1:42">
      <c r="B20" s="45">
        <v>17</v>
      </c>
      <c r="C20">
        <f>Rand!T19</f>
        <v>582758</v>
      </c>
      <c r="D20">
        <f>Rand!U19</f>
        <v>600912</v>
      </c>
      <c r="P20" s="45">
        <v>17</v>
      </c>
      <c r="Q20">
        <f t="shared" si="0"/>
        <v>115.1205997470023</v>
      </c>
      <c r="R20">
        <f t="shared" si="1"/>
        <v>76.295478240849903</v>
      </c>
      <c r="S20">
        <f t="shared" si="2"/>
        <v>88.639720216164946</v>
      </c>
      <c r="T20">
        <f t="shared" si="3"/>
        <v>105.80170130957252</v>
      </c>
      <c r="U20">
        <f t="shared" si="4"/>
        <v>119.97082978791136</v>
      </c>
      <c r="V20">
        <f t="shared" si="5"/>
        <v>112.00892821556681</v>
      </c>
      <c r="W20">
        <f t="shared" si="6"/>
        <v>83.52843827104634</v>
      </c>
      <c r="X20">
        <f t="shared" si="7"/>
        <v>54.451813560247928</v>
      </c>
      <c r="Y20">
        <f t="shared" si="8"/>
        <v>58.855755878248644</v>
      </c>
      <c r="Z20">
        <f t="shared" si="9"/>
        <v>60.207972893961475</v>
      </c>
      <c r="AA20">
        <f t="shared" si="10"/>
        <v>53.814496188294839</v>
      </c>
      <c r="AB20">
        <f t="shared" si="11"/>
        <v>27.459060435491963</v>
      </c>
      <c r="AC20">
        <f t="shared" si="12"/>
        <v>48.60041152089147</v>
      </c>
      <c r="AD20">
        <f t="shared" si="13"/>
        <v>18.973665961010276</v>
      </c>
      <c r="AE20">
        <f t="shared" si="14"/>
        <v>36.878177829171548</v>
      </c>
      <c r="AF20">
        <f t="shared" si="15"/>
        <v>8.9442719099991592</v>
      </c>
      <c r="AG20">
        <f t="shared" si="16"/>
        <v>34.132096331752024</v>
      </c>
      <c r="AH20">
        <f t="shared" si="18"/>
        <v>0</v>
      </c>
      <c r="AI20">
        <f t="shared" si="19"/>
        <v>20.223748416156685</v>
      </c>
      <c r="AJ20">
        <f t="shared" si="20"/>
        <v>77.233412458598508</v>
      </c>
      <c r="AK20">
        <f t="shared" si="21"/>
        <v>62.513998432351137</v>
      </c>
      <c r="AL20">
        <f t="shared" si="22"/>
        <v>66.030296076876709</v>
      </c>
      <c r="AM20">
        <f t="shared" si="23"/>
        <v>61.71709649683789</v>
      </c>
      <c r="AN20">
        <f t="shared" si="24"/>
        <v>77.077882690172544</v>
      </c>
      <c r="AO20">
        <f t="shared" si="25"/>
        <v>86.977008456258133</v>
      </c>
      <c r="AP20">
        <f t="shared" si="17"/>
        <v>87.402351488507975</v>
      </c>
    </row>
    <row r="21" spans="1:42">
      <c r="B21" s="45">
        <v>18</v>
      </c>
      <c r="C21">
        <f>Rand!T16</f>
        <v>582755</v>
      </c>
      <c r="D21">
        <f>Rand!U16</f>
        <v>600932</v>
      </c>
      <c r="P21" s="45">
        <v>18</v>
      </c>
      <c r="Q21">
        <f t="shared" si="0"/>
        <v>113.39766825693431</v>
      </c>
      <c r="R21" s="13">
        <f t="shared" si="1"/>
        <v>72.249567472753768</v>
      </c>
      <c r="S21" s="13">
        <f t="shared" si="2"/>
        <v>79.624116949577527</v>
      </c>
      <c r="T21" s="13">
        <f t="shared" si="3"/>
        <v>102.23991392797629</v>
      </c>
      <c r="U21" s="13">
        <f t="shared" si="4"/>
        <v>111.40017953306898</v>
      </c>
      <c r="V21" s="13">
        <f t="shared" si="5"/>
        <v>108.11567878897121</v>
      </c>
      <c r="W21" s="13">
        <f t="shared" si="6"/>
        <v>72.111025509279784</v>
      </c>
      <c r="X21" s="13">
        <f t="shared" si="7"/>
        <v>40.249223594996216</v>
      </c>
      <c r="Y21" s="13">
        <f t="shared" si="8"/>
        <v>55.901699437494742</v>
      </c>
      <c r="Z21">
        <f t="shared" si="9"/>
        <v>49.477267507411923</v>
      </c>
      <c r="AA21">
        <f t="shared" si="10"/>
        <v>38.587562763149478</v>
      </c>
      <c r="AB21">
        <f t="shared" si="11"/>
        <v>28.301943396169811</v>
      </c>
      <c r="AC21">
        <f t="shared" si="12"/>
        <v>32.202484376209235</v>
      </c>
      <c r="AD21">
        <f t="shared" si="13"/>
        <v>25.238858928247925</v>
      </c>
      <c r="AE21">
        <f t="shared" si="14"/>
        <v>31.256999216175569</v>
      </c>
      <c r="AF21">
        <f t="shared" si="15"/>
        <v>19.416487838947599</v>
      </c>
      <c r="AG21">
        <f t="shared" si="16"/>
        <v>22.847319317591726</v>
      </c>
      <c r="AH21">
        <f t="shared" si="18"/>
        <v>20.223748416156685</v>
      </c>
      <c r="AI21">
        <f t="shared" si="19"/>
        <v>0</v>
      </c>
      <c r="AJ21">
        <f t="shared" si="20"/>
        <v>81.21576201698781</v>
      </c>
      <c r="AK21">
        <f t="shared" si="21"/>
        <v>66.098411478642959</v>
      </c>
      <c r="AL21">
        <f t="shared" si="22"/>
        <v>71.309185944028272</v>
      </c>
      <c r="AM21">
        <f t="shared" si="23"/>
        <v>58.54912467321779</v>
      </c>
      <c r="AN21">
        <f t="shared" si="24"/>
        <v>74.672618810377884</v>
      </c>
      <c r="AO21">
        <f t="shared" si="25"/>
        <v>85.475142585432408</v>
      </c>
      <c r="AP21">
        <f t="shared" si="17"/>
        <v>94.233767226613864</v>
      </c>
    </row>
    <row r="22" spans="1:42">
      <c r="B22" s="45">
        <v>19</v>
      </c>
      <c r="C22">
        <f>Rand!T25</f>
        <v>582835</v>
      </c>
      <c r="D22">
        <f>Rand!U25</f>
        <v>600918</v>
      </c>
      <c r="P22" s="45">
        <v>19</v>
      </c>
      <c r="Q22">
        <f t="shared" si="0"/>
        <v>192.11298843675715</v>
      </c>
      <c r="R22" s="13">
        <f t="shared" si="1"/>
        <v>152.21038072352357</v>
      </c>
      <c r="S22" s="13">
        <f t="shared" si="2"/>
        <v>160.822883943797</v>
      </c>
      <c r="T22" s="13">
        <f t="shared" si="3"/>
        <v>182.13456563760764</v>
      </c>
      <c r="U22" s="13">
        <f t="shared" si="4"/>
        <v>192.58764238652489</v>
      </c>
      <c r="V22" s="13">
        <f t="shared" si="5"/>
        <v>188.21530224718711</v>
      </c>
      <c r="W22" s="13">
        <f t="shared" si="6"/>
        <v>152.80052355931247</v>
      </c>
      <c r="X22" s="13">
        <f t="shared" si="7"/>
        <v>120.33287165193059</v>
      </c>
      <c r="Y22" s="13">
        <f t="shared" si="8"/>
        <v>135.05924625881784</v>
      </c>
      <c r="Z22">
        <f t="shared" si="9"/>
        <v>130.61393493804556</v>
      </c>
      <c r="AA22">
        <f t="shared" si="10"/>
        <v>118.00423721205946</v>
      </c>
      <c r="AB22">
        <f t="shared" si="11"/>
        <v>104.00480758118829</v>
      </c>
      <c r="AC22">
        <f t="shared" si="12"/>
        <v>111.01801655587259</v>
      </c>
      <c r="AD22">
        <f t="shared" si="13"/>
        <v>59</v>
      </c>
      <c r="AE22">
        <f t="shared" si="14"/>
        <v>52.201532544552748</v>
      </c>
      <c r="AF22">
        <f t="shared" si="15"/>
        <v>69.028979421689272</v>
      </c>
      <c r="AG22">
        <f t="shared" si="16"/>
        <v>63.324560795950255</v>
      </c>
      <c r="AH22">
        <f t="shared" si="18"/>
        <v>77.233412458598508</v>
      </c>
      <c r="AI22">
        <f t="shared" si="19"/>
        <v>81.21576201698781</v>
      </c>
      <c r="AJ22">
        <f t="shared" si="20"/>
        <v>0</v>
      </c>
      <c r="AK22">
        <f t="shared" si="21"/>
        <v>15.132745950421556</v>
      </c>
      <c r="AL22">
        <f t="shared" si="22"/>
        <v>11.704699910719626</v>
      </c>
      <c r="AM22">
        <f t="shared" si="23"/>
        <v>31.11269837220809</v>
      </c>
      <c r="AN22">
        <f t="shared" si="24"/>
        <v>24.738633753705962</v>
      </c>
      <c r="AO22">
        <f t="shared" si="25"/>
        <v>23.53720459187964</v>
      </c>
      <c r="AP22">
        <f t="shared" si="17"/>
        <v>17.02618588306116</v>
      </c>
    </row>
    <row r="23" spans="1:42">
      <c r="B23" s="45">
        <v>20</v>
      </c>
      <c r="C23">
        <f>Rand!T22</f>
        <v>582820</v>
      </c>
      <c r="D23">
        <f>Rand!U22</f>
        <v>600920</v>
      </c>
      <c r="P23" s="45">
        <v>20</v>
      </c>
      <c r="Q23">
        <f t="shared" si="0"/>
        <v>177.16260171408385</v>
      </c>
      <c r="R23" s="13">
        <f t="shared" si="1"/>
        <v>137.13132391981054</v>
      </c>
      <c r="S23" s="13">
        <f t="shared" si="2"/>
        <v>145.71547618561317</v>
      </c>
      <c r="T23" s="13">
        <f t="shared" si="3"/>
        <v>167.0748335327616</v>
      </c>
      <c r="U23" s="13">
        <f t="shared" si="4"/>
        <v>177.48521065147935</v>
      </c>
      <c r="V23" s="13">
        <f t="shared" si="5"/>
        <v>173.1415605797753</v>
      </c>
      <c r="W23" s="13">
        <f t="shared" si="6"/>
        <v>137.78606605894515</v>
      </c>
      <c r="X23" s="13">
        <f t="shared" si="7"/>
        <v>105.3612832116238</v>
      </c>
      <c r="Y23" s="13">
        <f t="shared" si="8"/>
        <v>120.01666550941998</v>
      </c>
      <c r="Z23">
        <f t="shared" si="9"/>
        <v>115.52056094046635</v>
      </c>
      <c r="AA23">
        <f t="shared" si="10"/>
        <v>103.09219175087898</v>
      </c>
      <c r="AB23">
        <f t="shared" si="11"/>
        <v>89.050547443572739</v>
      </c>
      <c r="AC23">
        <f t="shared" si="12"/>
        <v>96.135321292436529</v>
      </c>
      <c r="AD23">
        <f t="shared" si="13"/>
        <v>44.045431091090478</v>
      </c>
      <c r="AE23">
        <f t="shared" si="14"/>
        <v>37.576588456111871</v>
      </c>
      <c r="AF23">
        <f t="shared" si="15"/>
        <v>54.147945482723536</v>
      </c>
      <c r="AG23">
        <f t="shared" si="16"/>
        <v>48.754486972995622</v>
      </c>
      <c r="AH23">
        <f t="shared" si="18"/>
        <v>62.513998432351137</v>
      </c>
      <c r="AI23">
        <f t="shared" si="19"/>
        <v>66.098411478642959</v>
      </c>
      <c r="AJ23">
        <f t="shared" si="20"/>
        <v>15.132745950421556</v>
      </c>
      <c r="AK23">
        <f t="shared" si="21"/>
        <v>0</v>
      </c>
      <c r="AL23">
        <f t="shared" si="22"/>
        <v>7.2111025509279782</v>
      </c>
      <c r="AM23">
        <f t="shared" si="23"/>
        <v>21.189620100417091</v>
      </c>
      <c r="AN23">
        <f t="shared" si="24"/>
        <v>23.769728648009426</v>
      </c>
      <c r="AO23">
        <f t="shared" si="25"/>
        <v>29</v>
      </c>
      <c r="AP23">
        <f t="shared" si="17"/>
        <v>29.590806777167444</v>
      </c>
    </row>
    <row r="24" spans="1:42">
      <c r="B24" s="45">
        <v>21</v>
      </c>
      <c r="C24">
        <f>Rand!T20</f>
        <v>582824</v>
      </c>
      <c r="D24">
        <f>Rand!U20</f>
        <v>600914</v>
      </c>
      <c r="P24" s="45">
        <v>21</v>
      </c>
      <c r="Q24">
        <f t="shared" si="0"/>
        <v>181.08820957230409</v>
      </c>
      <c r="R24" s="13">
        <f t="shared" si="1"/>
        <v>141.50971698084905</v>
      </c>
      <c r="S24" s="13">
        <f t="shared" si="2"/>
        <v>150.88074761214565</v>
      </c>
      <c r="T24" s="13">
        <f t="shared" si="3"/>
        <v>171.35343591536179</v>
      </c>
      <c r="U24" s="13">
        <f t="shared" si="4"/>
        <v>182.6608879864543</v>
      </c>
      <c r="V24" s="13">
        <f t="shared" si="5"/>
        <v>177.47675904185314</v>
      </c>
      <c r="W24" s="13">
        <f t="shared" si="6"/>
        <v>143.29340529138108</v>
      </c>
      <c r="X24" s="13">
        <f t="shared" si="7"/>
        <v>111</v>
      </c>
      <c r="Y24" s="13">
        <f t="shared" si="8"/>
        <v>124.25779653607253</v>
      </c>
      <c r="Z24">
        <f t="shared" si="9"/>
        <v>120.78493283518438</v>
      </c>
      <c r="AA24">
        <f t="shared" si="10"/>
        <v>108.84851859350222</v>
      </c>
      <c r="AB24">
        <f t="shared" si="11"/>
        <v>93.048374515624943</v>
      </c>
      <c r="AC24">
        <f t="shared" si="12"/>
        <v>101.95096860746347</v>
      </c>
      <c r="AD24">
        <f t="shared" si="13"/>
        <v>48.166378315169183</v>
      </c>
      <c r="AE24">
        <f t="shared" si="14"/>
        <v>43.908996800200299</v>
      </c>
      <c r="AF24">
        <f t="shared" si="15"/>
        <v>58.034472514187634</v>
      </c>
      <c r="AG24">
        <f t="shared" si="16"/>
        <v>55.072679252057455</v>
      </c>
      <c r="AH24">
        <f t="shared" si="18"/>
        <v>66.030296076876709</v>
      </c>
      <c r="AI24">
        <f t="shared" si="19"/>
        <v>71.309185944028272</v>
      </c>
      <c r="AJ24">
        <f t="shared" si="20"/>
        <v>11.704699910719626</v>
      </c>
      <c r="AK24">
        <f t="shared" si="21"/>
        <v>7.2111025509279782</v>
      </c>
      <c r="AL24">
        <f t="shared" si="22"/>
        <v>0</v>
      </c>
      <c r="AM24">
        <f t="shared" si="23"/>
        <v>28.231188426986208</v>
      </c>
      <c r="AN24">
        <f t="shared" si="24"/>
        <v>28.442925306655784</v>
      </c>
      <c r="AO24">
        <f t="shared" si="25"/>
        <v>31.384709652950431</v>
      </c>
      <c r="AP24">
        <f t="shared" si="17"/>
        <v>23.201271640238588</v>
      </c>
    </row>
    <row r="25" spans="1:42">
      <c r="B25" s="45">
        <v>22</v>
      </c>
      <c r="C25">
        <f>Rand!T21</f>
        <v>582813</v>
      </c>
      <c r="D25">
        <f>Rand!U21</f>
        <v>600940</v>
      </c>
      <c r="P25" s="45">
        <v>22</v>
      </c>
      <c r="Q25">
        <f t="shared" si="0"/>
        <v>171.94235884767821</v>
      </c>
      <c r="R25" s="13">
        <f t="shared" si="1"/>
        <v>130.75167302944922</v>
      </c>
      <c r="S25" s="13">
        <f t="shared" si="2"/>
        <v>136.23509092741122</v>
      </c>
      <c r="T25" s="13">
        <f t="shared" si="3"/>
        <v>160.70158679988197</v>
      </c>
      <c r="U25" s="13">
        <f t="shared" si="4"/>
        <v>167.67229944149989</v>
      </c>
      <c r="V25" s="13">
        <f t="shared" si="5"/>
        <v>166.50825805346713</v>
      </c>
      <c r="W25" s="13">
        <f t="shared" si="6"/>
        <v>127.01181047445942</v>
      </c>
      <c r="X25" s="13">
        <f t="shared" si="7"/>
        <v>94.530418384771792</v>
      </c>
      <c r="Y25" s="13">
        <f t="shared" si="8"/>
        <v>114.42464769445436</v>
      </c>
      <c r="Z25">
        <f t="shared" si="9"/>
        <v>106.07544484940895</v>
      </c>
      <c r="AA25">
        <f t="shared" si="10"/>
        <v>91.787798753429101</v>
      </c>
      <c r="AB25">
        <f t="shared" si="11"/>
        <v>85.164546614186818</v>
      </c>
      <c r="AC25">
        <f t="shared" si="12"/>
        <v>84.717176534631989</v>
      </c>
      <c r="AD25">
        <f t="shared" si="13"/>
        <v>43.046486500061768</v>
      </c>
      <c r="AE25">
        <f t="shared" si="14"/>
        <v>27.294688127912362</v>
      </c>
      <c r="AF25">
        <f t="shared" si="15"/>
        <v>52.773099207835045</v>
      </c>
      <c r="AG25">
        <f t="shared" si="16"/>
        <v>37.013511046643494</v>
      </c>
      <c r="AH25">
        <f t="shared" si="18"/>
        <v>61.71709649683789</v>
      </c>
      <c r="AI25">
        <f t="shared" si="19"/>
        <v>58.54912467321779</v>
      </c>
      <c r="AJ25">
        <f t="shared" si="20"/>
        <v>31.11269837220809</v>
      </c>
      <c r="AK25">
        <f t="shared" si="21"/>
        <v>21.189620100417091</v>
      </c>
      <c r="AL25">
        <f t="shared" si="22"/>
        <v>28.231188426986208</v>
      </c>
      <c r="AM25">
        <f t="shared" si="23"/>
        <v>0</v>
      </c>
      <c r="AN25">
        <f t="shared" si="24"/>
        <v>16.124515496597098</v>
      </c>
      <c r="AO25">
        <f t="shared" si="25"/>
        <v>27.018512172212592</v>
      </c>
      <c r="AP25">
        <f t="shared" si="17"/>
        <v>48.009599099788325</v>
      </c>
    </row>
    <row r="26" spans="1:42">
      <c r="B26" s="45">
        <v>23</v>
      </c>
      <c r="C26">
        <f>Rand!T24</f>
        <v>582829</v>
      </c>
      <c r="D26">
        <f>Rand!U24</f>
        <v>600942</v>
      </c>
      <c r="P26" s="45">
        <v>23</v>
      </c>
      <c r="Q26">
        <f t="shared" si="0"/>
        <v>188.06307432907209</v>
      </c>
      <c r="R26" s="13">
        <f t="shared" si="1"/>
        <v>146.87409574189726</v>
      </c>
      <c r="S26" s="13">
        <f t="shared" si="2"/>
        <v>152.11837495845134</v>
      </c>
      <c r="T26" s="13">
        <f t="shared" si="3"/>
        <v>176.81911661356077</v>
      </c>
      <c r="U26" s="13">
        <f t="shared" si="4"/>
        <v>183.46116755324545</v>
      </c>
      <c r="V26" s="13">
        <f t="shared" si="5"/>
        <v>182.61708572858126</v>
      </c>
      <c r="W26" s="13">
        <f t="shared" si="6"/>
        <v>142.68847185389575</v>
      </c>
      <c r="X26" s="13">
        <f t="shared" si="7"/>
        <v>110.2905254316979</v>
      </c>
      <c r="Y26" s="13">
        <f t="shared" si="8"/>
        <v>130.54118124178285</v>
      </c>
      <c r="Z26">
        <f t="shared" si="9"/>
        <v>122.01639234135715</v>
      </c>
      <c r="AA26">
        <f t="shared" si="10"/>
        <v>107.46627377926528</v>
      </c>
      <c r="AB26">
        <f t="shared" si="11"/>
        <v>101.13851887386922</v>
      </c>
      <c r="AC26">
        <f t="shared" si="12"/>
        <v>100.40418317978589</v>
      </c>
      <c r="AD26">
        <f t="shared" si="13"/>
        <v>58.180752831155424</v>
      </c>
      <c r="AE26">
        <f t="shared" si="14"/>
        <v>43.416586692184822</v>
      </c>
      <c r="AF26">
        <f t="shared" si="15"/>
        <v>68.154236845554948</v>
      </c>
      <c r="AG26">
        <f t="shared" si="16"/>
        <v>53.009433122794285</v>
      </c>
      <c r="AH26">
        <f t="shared" si="18"/>
        <v>77.077882690172544</v>
      </c>
      <c r="AI26">
        <f t="shared" si="19"/>
        <v>74.672618810377884</v>
      </c>
      <c r="AJ26">
        <f t="shared" si="20"/>
        <v>24.738633753705962</v>
      </c>
      <c r="AK26">
        <f t="shared" si="21"/>
        <v>23.769728648009426</v>
      </c>
      <c r="AL26">
        <f t="shared" si="22"/>
        <v>28.442925306655784</v>
      </c>
      <c r="AM26">
        <f t="shared" si="23"/>
        <v>16.124515496597098</v>
      </c>
      <c r="AN26">
        <f t="shared" si="24"/>
        <v>0</v>
      </c>
      <c r="AO26">
        <f t="shared" si="25"/>
        <v>11.045361017187261</v>
      </c>
      <c r="AP26">
        <f t="shared" si="17"/>
        <v>41.011871034167214</v>
      </c>
    </row>
    <row r="27" spans="1:42">
      <c r="B27" s="45">
        <v>24</v>
      </c>
      <c r="C27">
        <f>Rand!T23</f>
        <v>582840</v>
      </c>
      <c r="D27">
        <f>Rand!U23</f>
        <v>600941</v>
      </c>
      <c r="P27" s="45">
        <v>24</v>
      </c>
      <c r="Q27">
        <f t="shared" si="0"/>
        <v>198.81959487460227</v>
      </c>
      <c r="R27" s="13">
        <f t="shared" si="1"/>
        <v>157.71493271088823</v>
      </c>
      <c r="S27" s="13">
        <f t="shared" si="2"/>
        <v>163.1502375113196</v>
      </c>
      <c r="T27" s="13">
        <f t="shared" si="3"/>
        <v>187.68324379123459</v>
      </c>
      <c r="U27" s="13">
        <f t="shared" si="4"/>
        <v>194.50449866262733</v>
      </c>
      <c r="V27" s="13">
        <f t="shared" si="5"/>
        <v>193.50710581268069</v>
      </c>
      <c r="W27" s="13">
        <f t="shared" si="6"/>
        <v>153.73353570382747</v>
      </c>
      <c r="X27" s="13">
        <f t="shared" si="7"/>
        <v>121.33424908079334</v>
      </c>
      <c r="Y27" s="13">
        <f t="shared" si="8"/>
        <v>141.2834031300209</v>
      </c>
      <c r="Z27">
        <f t="shared" si="9"/>
        <v>133.0338302838793</v>
      </c>
      <c r="AA27">
        <f t="shared" si="10"/>
        <v>118.51160280748886</v>
      </c>
      <c r="AB27">
        <f t="shared" si="11"/>
        <v>111.61093136427094</v>
      </c>
      <c r="AC27">
        <f t="shared" si="12"/>
        <v>111.44954015158609</v>
      </c>
      <c r="AD27">
        <f t="shared" si="13"/>
        <v>68.007352543677214</v>
      </c>
      <c r="AE27">
        <f t="shared" si="14"/>
        <v>54.230987451824994</v>
      </c>
      <c r="AF27">
        <f t="shared" si="15"/>
        <v>78.108898340714035</v>
      </c>
      <c r="AG27">
        <f t="shared" si="16"/>
        <v>64</v>
      </c>
      <c r="AH27">
        <f t="shared" si="18"/>
        <v>86.977008456258133</v>
      </c>
      <c r="AI27">
        <f t="shared" si="19"/>
        <v>85.475142585432408</v>
      </c>
      <c r="AJ27">
        <f t="shared" si="20"/>
        <v>23.53720459187964</v>
      </c>
      <c r="AK27">
        <f t="shared" si="21"/>
        <v>29</v>
      </c>
      <c r="AL27">
        <f t="shared" si="22"/>
        <v>31.384709652950431</v>
      </c>
      <c r="AM27">
        <f t="shared" si="23"/>
        <v>27.018512172212592</v>
      </c>
      <c r="AN27">
        <f t="shared" si="24"/>
        <v>11.045361017187261</v>
      </c>
      <c r="AO27">
        <f t="shared" si="25"/>
        <v>0</v>
      </c>
      <c r="AP27">
        <f t="shared" si="17"/>
        <v>37.083641484134183</v>
      </c>
    </row>
    <row r="28" spans="1:42">
      <c r="B28" s="30" t="s">
        <v>46</v>
      </c>
      <c r="C28" s="30">
        <f>'Map Template'!U8</f>
        <v>582845.05923999997</v>
      </c>
      <c r="D28" s="30">
        <f>'Map Template'!V8</f>
        <v>600904.26309000002</v>
      </c>
      <c r="O28" s="33" t="s">
        <v>48</v>
      </c>
      <c r="P28" s="45">
        <v>25</v>
      </c>
      <c r="Q28">
        <f t="shared" si="0"/>
        <v>202.42035766968698</v>
      </c>
      <c r="R28">
        <f t="shared" si="1"/>
        <v>163.51052114685481</v>
      </c>
      <c r="S28">
        <f t="shared" si="2"/>
        <v>173.65720671977525</v>
      </c>
      <c r="T28">
        <f t="shared" si="3"/>
        <v>193.17549302567986</v>
      </c>
      <c r="U28">
        <f t="shared" si="4"/>
        <v>205.42350173656564</v>
      </c>
      <c r="V28">
        <f t="shared" si="5"/>
        <v>199.3600502249989</v>
      </c>
      <c r="W28">
        <f t="shared" si="6"/>
        <v>166.31124798315636</v>
      </c>
      <c r="X28">
        <f t="shared" si="7"/>
        <v>134.09995125173208</v>
      </c>
      <c r="Y28">
        <f t="shared" si="8"/>
        <v>146.13959451742411</v>
      </c>
      <c r="Z28">
        <f t="shared" si="9"/>
        <v>143.66410743716239</v>
      </c>
      <c r="AA28">
        <f t="shared" si="10"/>
        <v>131.99389806243693</v>
      </c>
      <c r="AB28">
        <f t="shared" si="11"/>
        <v>114.76819727485061</v>
      </c>
      <c r="AC28">
        <f t="shared" si="12"/>
        <v>125.11628968970192</v>
      </c>
      <c r="AD28">
        <f t="shared" si="13"/>
        <v>70.412224263414586</v>
      </c>
      <c r="AE28">
        <f t="shared" si="14"/>
        <v>67.046441260674882</v>
      </c>
      <c r="AF28">
        <f t="shared" si="15"/>
        <v>79.925706038301243</v>
      </c>
      <c r="AG28">
        <f t="shared" si="16"/>
        <v>78.222625791521267</v>
      </c>
      <c r="AH28">
        <f t="shared" si="18"/>
        <v>87.402351488507975</v>
      </c>
      <c r="AI28">
        <f t="shared" si="19"/>
        <v>94.233767226613864</v>
      </c>
      <c r="AJ28">
        <f t="shared" si="20"/>
        <v>17.02618588306116</v>
      </c>
      <c r="AK28">
        <f t="shared" si="21"/>
        <v>29.590806777167444</v>
      </c>
      <c r="AL28">
        <f t="shared" si="22"/>
        <v>23.201271640238588</v>
      </c>
      <c r="AM28">
        <f t="shared" si="23"/>
        <v>48.009599099788325</v>
      </c>
      <c r="AN28">
        <f t="shared" si="24"/>
        <v>41.011871034167214</v>
      </c>
      <c r="AO28">
        <f t="shared" si="25"/>
        <v>37.083641484134183</v>
      </c>
      <c r="AP28">
        <f t="shared" si="17"/>
        <v>0</v>
      </c>
    </row>
    <row r="30" spans="1:42">
      <c r="B30" t="s">
        <v>111</v>
      </c>
      <c r="Q30" s="43" t="s">
        <v>43</v>
      </c>
      <c r="R30" s="43"/>
    </row>
    <row r="31" spans="1:42">
      <c r="B31" t="s">
        <v>23</v>
      </c>
      <c r="C31" t="s">
        <v>24</v>
      </c>
      <c r="Q31" s="33" t="s">
        <v>47</v>
      </c>
      <c r="AP31" s="33" t="s">
        <v>48</v>
      </c>
    </row>
    <row r="32" spans="1:42">
      <c r="A32" t="s">
        <v>112</v>
      </c>
      <c r="B32">
        <f>Q34</f>
        <v>582642.91358000005</v>
      </c>
      <c r="C32">
        <f>Q35</f>
        <v>600914.80507</v>
      </c>
      <c r="Q32" s="32">
        <v>1</v>
      </c>
      <c r="R32" s="45">
        <v>1</v>
      </c>
      <c r="S32" s="45">
        <v>2</v>
      </c>
      <c r="T32" s="45">
        <v>3</v>
      </c>
      <c r="U32" s="45">
        <v>4</v>
      </c>
      <c r="V32" s="45">
        <v>5</v>
      </c>
      <c r="W32" s="45">
        <v>6</v>
      </c>
      <c r="X32" s="45">
        <v>7</v>
      </c>
      <c r="Y32" s="45">
        <v>8</v>
      </c>
      <c r="Z32" s="45">
        <v>9</v>
      </c>
      <c r="AA32" s="45">
        <v>10</v>
      </c>
      <c r="AB32" s="45">
        <v>11</v>
      </c>
      <c r="AC32" s="45">
        <v>12</v>
      </c>
      <c r="AD32" s="45">
        <v>13</v>
      </c>
      <c r="AE32" s="45">
        <v>14</v>
      </c>
      <c r="AF32" s="45">
        <v>15</v>
      </c>
      <c r="AG32" s="45">
        <v>16</v>
      </c>
      <c r="AH32" s="45">
        <v>17</v>
      </c>
      <c r="AI32" s="45">
        <v>18</v>
      </c>
      <c r="AJ32" s="45">
        <v>19</v>
      </c>
      <c r="AK32" s="45">
        <v>20</v>
      </c>
      <c r="AL32" s="45">
        <v>21</v>
      </c>
      <c r="AM32" s="45">
        <v>22</v>
      </c>
      <c r="AN32" s="45">
        <v>23</v>
      </c>
      <c r="AO32" s="45">
        <v>24</v>
      </c>
      <c r="AP32" s="32">
        <v>25</v>
      </c>
    </row>
    <row r="33" spans="1:42">
      <c r="A33">
        <v>1</v>
      </c>
      <c r="B33">
        <f>R34</f>
        <v>582683</v>
      </c>
      <c r="C33">
        <f>R35</f>
        <v>600926</v>
      </c>
      <c r="Q33">
        <f>SQRT((($R34-$C$3)^2)+(($R35-$D$3)^2))</f>
        <v>41.620277823641914</v>
      </c>
      <c r="R33">
        <f>INDEX($R$4:$AO$27,R32,S32)</f>
        <v>22.803508501982758</v>
      </c>
      <c r="S33">
        <f t="shared" ref="S33:AM33" si="26">INDEX($R$4:$AO$27,S32,T32)</f>
        <v>33.241540277189323</v>
      </c>
      <c r="T33">
        <f t="shared" si="26"/>
        <v>30.805843601498726</v>
      </c>
      <c r="U33">
        <f t="shared" si="26"/>
        <v>28.0178514522438</v>
      </c>
      <c r="V33">
        <f t="shared" si="26"/>
        <v>49.406477308142499</v>
      </c>
      <c r="W33">
        <f t="shared" si="26"/>
        <v>32.557641192199412</v>
      </c>
      <c r="X33">
        <f t="shared" si="26"/>
        <v>33.837848631377263</v>
      </c>
      <c r="Y33">
        <f t="shared" si="26"/>
        <v>23.086792761230392</v>
      </c>
      <c r="Z33">
        <f t="shared" si="26"/>
        <v>17</v>
      </c>
      <c r="AA33">
        <f t="shared" si="26"/>
        <v>36.138621999185304</v>
      </c>
      <c r="AB33">
        <f t="shared" si="26"/>
        <v>34.058772731852805</v>
      </c>
      <c r="AC33">
        <f t="shared" si="26"/>
        <v>57.428216061444921</v>
      </c>
      <c r="AD33">
        <f t="shared" si="26"/>
        <v>20.591260281974002</v>
      </c>
      <c r="AE33">
        <f t="shared" si="26"/>
        <v>28.284271247461902</v>
      </c>
      <c r="AF33">
        <f t="shared" si="26"/>
        <v>26.92582403567252</v>
      </c>
      <c r="AG33">
        <f t="shared" si="26"/>
        <v>34.132096331752024</v>
      </c>
      <c r="AH33">
        <f t="shared" si="26"/>
        <v>20.223748416156685</v>
      </c>
      <c r="AI33">
        <f t="shared" si="26"/>
        <v>81.21576201698781</v>
      </c>
      <c r="AJ33">
        <f t="shared" si="26"/>
        <v>15.132745950421556</v>
      </c>
      <c r="AK33">
        <f t="shared" si="26"/>
        <v>7.2111025509279782</v>
      </c>
      <c r="AL33">
        <f t="shared" si="26"/>
        <v>28.231188426986208</v>
      </c>
      <c r="AM33">
        <f t="shared" si="26"/>
        <v>16.124515496597098</v>
      </c>
      <c r="AN33">
        <f>INDEX($R$4:$AO$27,AN32,AO32)</f>
        <v>11.045361017187261</v>
      </c>
      <c r="AO33">
        <f>INDEX($R$4:$AP$28,AO32,AP32)</f>
        <v>37.083641484134183</v>
      </c>
    </row>
    <row r="34" spans="1:42">
      <c r="A34">
        <v>2</v>
      </c>
      <c r="B34">
        <f>S34</f>
        <v>582677</v>
      </c>
      <c r="C34">
        <f>S35</f>
        <v>600948</v>
      </c>
      <c r="P34" s="44" t="s">
        <v>25</v>
      </c>
      <c r="Q34">
        <f>C3</f>
        <v>582642.91358000005</v>
      </c>
      <c r="R34">
        <f>VLOOKUP(R32,$B$4:$C$27,2,FALSE)</f>
        <v>582683</v>
      </c>
      <c r="S34">
        <f t="shared" ref="S34:AO34" si="27">VLOOKUP(S32,$B$4:$C$27,2,FALSE)</f>
        <v>582677</v>
      </c>
      <c r="T34">
        <f t="shared" si="27"/>
        <v>582653</v>
      </c>
      <c r="U34">
        <f t="shared" si="27"/>
        <v>582646</v>
      </c>
      <c r="V34">
        <f t="shared" si="27"/>
        <v>582647</v>
      </c>
      <c r="W34">
        <f t="shared" si="27"/>
        <v>582687</v>
      </c>
      <c r="X34">
        <f t="shared" si="27"/>
        <v>582719</v>
      </c>
      <c r="Y34">
        <f t="shared" si="27"/>
        <v>582700</v>
      </c>
      <c r="Z34">
        <f t="shared" si="27"/>
        <v>582707</v>
      </c>
      <c r="AA34">
        <f t="shared" si="27"/>
        <v>582722</v>
      </c>
      <c r="AB34">
        <f t="shared" si="27"/>
        <v>582731</v>
      </c>
      <c r="AC34">
        <f t="shared" si="27"/>
        <v>582729</v>
      </c>
      <c r="AD34">
        <f t="shared" si="27"/>
        <v>582776</v>
      </c>
      <c r="AE34">
        <f t="shared" si="27"/>
        <v>582786</v>
      </c>
      <c r="AF34">
        <f t="shared" si="27"/>
        <v>582766</v>
      </c>
      <c r="AG34">
        <f t="shared" si="27"/>
        <v>582776</v>
      </c>
      <c r="AH34">
        <f>VLOOKUP(AH32,$B$4:$C$27,2,FALSE)</f>
        <v>582758</v>
      </c>
      <c r="AI34">
        <f t="shared" si="27"/>
        <v>582755</v>
      </c>
      <c r="AJ34">
        <f t="shared" si="27"/>
        <v>582835</v>
      </c>
      <c r="AK34">
        <f t="shared" si="27"/>
        <v>582820</v>
      </c>
      <c r="AL34">
        <f t="shared" si="27"/>
        <v>582824</v>
      </c>
      <c r="AM34">
        <f>VLOOKUP(AM32,$B$4:$C$27,2,FALSE)</f>
        <v>582813</v>
      </c>
      <c r="AN34">
        <f>VLOOKUP(AN32,$B$4:$C$27,2,FALSE)</f>
        <v>582829</v>
      </c>
      <c r="AO34">
        <f t="shared" si="27"/>
        <v>582840</v>
      </c>
      <c r="AP34">
        <f>C28</f>
        <v>582845.05923999997</v>
      </c>
    </row>
    <row r="35" spans="1:42" s="42" customFormat="1">
      <c r="A35">
        <v>3</v>
      </c>
      <c r="B35">
        <f>T34</f>
        <v>582653</v>
      </c>
      <c r="C35">
        <f>T35</f>
        <v>600925</v>
      </c>
      <c r="D35"/>
      <c r="P35" s="44" t="s">
        <v>26</v>
      </c>
      <c r="Q35">
        <f>D3</f>
        <v>600914.80507</v>
      </c>
      <c r="R35">
        <f>VLOOKUP(R32,$B$4:$D$27,3,FALSE)</f>
        <v>600926</v>
      </c>
      <c r="S35">
        <f t="shared" ref="S35:AO35" si="28">VLOOKUP(S32,$B$4:$D$27,3,FALSE)</f>
        <v>600948</v>
      </c>
      <c r="T35">
        <f t="shared" si="28"/>
        <v>600925</v>
      </c>
      <c r="U35">
        <f t="shared" si="28"/>
        <v>600955</v>
      </c>
      <c r="V35">
        <f t="shared" si="28"/>
        <v>600927</v>
      </c>
      <c r="W35">
        <f t="shared" si="28"/>
        <v>600956</v>
      </c>
      <c r="X35">
        <f t="shared" si="28"/>
        <v>600950</v>
      </c>
      <c r="Y35">
        <f t="shared" si="28"/>
        <v>600922</v>
      </c>
      <c r="Z35">
        <f t="shared" si="28"/>
        <v>600944</v>
      </c>
      <c r="AA35">
        <f t="shared" si="28"/>
        <v>600952</v>
      </c>
      <c r="AB35">
        <f t="shared" si="28"/>
        <v>600917</v>
      </c>
      <c r="AC35">
        <f t="shared" si="28"/>
        <v>600951</v>
      </c>
      <c r="AD35">
        <f t="shared" si="28"/>
        <v>600918</v>
      </c>
      <c r="AE35">
        <f t="shared" si="28"/>
        <v>600936</v>
      </c>
      <c r="AF35">
        <f t="shared" si="28"/>
        <v>600916</v>
      </c>
      <c r="AG35">
        <f t="shared" si="28"/>
        <v>600941</v>
      </c>
      <c r="AH35">
        <f t="shared" si="28"/>
        <v>600912</v>
      </c>
      <c r="AI35">
        <f t="shared" si="28"/>
        <v>600932</v>
      </c>
      <c r="AJ35">
        <f t="shared" si="28"/>
        <v>600918</v>
      </c>
      <c r="AK35">
        <f t="shared" si="28"/>
        <v>600920</v>
      </c>
      <c r="AL35">
        <f t="shared" si="28"/>
        <v>600914</v>
      </c>
      <c r="AM35">
        <f>VLOOKUP(AM32,$B$4:$D$27,3,FALSE)</f>
        <v>600940</v>
      </c>
      <c r="AN35">
        <f>VLOOKUP(AN32,$B$4:$D$27,3,FALSE)</f>
        <v>600942</v>
      </c>
      <c r="AO35">
        <f t="shared" si="28"/>
        <v>600941</v>
      </c>
      <c r="AP35">
        <f>D28</f>
        <v>600904.26309000002</v>
      </c>
    </row>
    <row r="36" spans="1:42" s="42" customFormat="1">
      <c r="A36">
        <v>4</v>
      </c>
      <c r="B36" s="42">
        <f>U34</f>
        <v>582646</v>
      </c>
      <c r="C36" s="42">
        <f>U35</f>
        <v>600955</v>
      </c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</row>
    <row r="37" spans="1:42" s="42" customFormat="1">
      <c r="A37" s="117">
        <v>5</v>
      </c>
      <c r="B37" s="42">
        <f>V34</f>
        <v>582647</v>
      </c>
      <c r="C37" s="42">
        <f>V35</f>
        <v>600927</v>
      </c>
      <c r="P37"/>
      <c r="Q37" s="43" t="s">
        <v>44</v>
      </c>
      <c r="R37" s="43"/>
      <c r="S37" s="31">
        <f>SUM(Q33:AO33)</f>
        <v>766.20490959824849</v>
      </c>
      <c r="T37" t="s">
        <v>49</v>
      </c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</row>
    <row r="38" spans="1:42" s="42" customFormat="1">
      <c r="A38" s="117">
        <v>6</v>
      </c>
      <c r="B38" s="42">
        <f>W34</f>
        <v>582687</v>
      </c>
      <c r="C38" s="42">
        <f>W35</f>
        <v>600956</v>
      </c>
    </row>
    <row r="39" spans="1:42" s="42" customFormat="1">
      <c r="A39" s="117">
        <v>7</v>
      </c>
      <c r="B39" s="42">
        <f>X34</f>
        <v>582719</v>
      </c>
      <c r="C39" s="42">
        <f>X35</f>
        <v>600950</v>
      </c>
    </row>
    <row r="40" spans="1:42" s="42" customFormat="1">
      <c r="A40" s="117">
        <v>8</v>
      </c>
      <c r="B40" s="42">
        <f>Y34</f>
        <v>582700</v>
      </c>
      <c r="C40" s="42">
        <f>Y35</f>
        <v>600922</v>
      </c>
    </row>
    <row r="41" spans="1:42" s="42" customFormat="1">
      <c r="A41" s="117">
        <v>9</v>
      </c>
      <c r="B41" s="42">
        <f>Z34</f>
        <v>582707</v>
      </c>
      <c r="C41" s="42">
        <f>Z35</f>
        <v>600944</v>
      </c>
    </row>
    <row r="42" spans="1:42" s="42" customFormat="1">
      <c r="A42" s="117">
        <v>10</v>
      </c>
      <c r="B42" s="42">
        <f>AA34</f>
        <v>582722</v>
      </c>
      <c r="C42" s="42">
        <f>AA35</f>
        <v>600952</v>
      </c>
    </row>
    <row r="43" spans="1:42">
      <c r="A43" s="117">
        <v>11</v>
      </c>
      <c r="B43">
        <f>AB34</f>
        <v>582731</v>
      </c>
      <c r="C43">
        <f>AB35</f>
        <v>600917</v>
      </c>
    </row>
    <row r="44" spans="1:42">
      <c r="A44" s="117">
        <v>12</v>
      </c>
      <c r="B44">
        <f>AC34</f>
        <v>582729</v>
      </c>
      <c r="C44">
        <f>AC35</f>
        <v>600951</v>
      </c>
    </row>
    <row r="45" spans="1:42">
      <c r="A45" s="117">
        <v>13</v>
      </c>
      <c r="B45">
        <f>AD34</f>
        <v>582776</v>
      </c>
      <c r="C45">
        <f>AD35</f>
        <v>600918</v>
      </c>
    </row>
    <row r="46" spans="1:42">
      <c r="A46" s="117">
        <v>14</v>
      </c>
      <c r="B46">
        <f>AE34</f>
        <v>582786</v>
      </c>
      <c r="C46">
        <f>AE35</f>
        <v>600936</v>
      </c>
    </row>
    <row r="47" spans="1:42">
      <c r="A47" s="117">
        <v>15</v>
      </c>
      <c r="B47">
        <f>AF34</f>
        <v>582766</v>
      </c>
      <c r="C47">
        <f>AF35</f>
        <v>600916</v>
      </c>
    </row>
    <row r="48" spans="1:42">
      <c r="A48" s="117">
        <v>16</v>
      </c>
      <c r="B48">
        <f>AG34</f>
        <v>582776</v>
      </c>
      <c r="C48">
        <f>AG35</f>
        <v>600941</v>
      </c>
    </row>
    <row r="49" spans="1:3">
      <c r="A49" s="117">
        <v>17</v>
      </c>
      <c r="B49">
        <f>AH34</f>
        <v>582758</v>
      </c>
      <c r="C49">
        <f>AH35</f>
        <v>600912</v>
      </c>
    </row>
    <row r="50" spans="1:3">
      <c r="A50" s="117">
        <v>18</v>
      </c>
      <c r="B50">
        <f>AI34</f>
        <v>582755</v>
      </c>
      <c r="C50">
        <f>AI35</f>
        <v>600932</v>
      </c>
    </row>
    <row r="51" spans="1:3">
      <c r="A51" s="117">
        <v>19</v>
      </c>
      <c r="B51">
        <f>AJ34</f>
        <v>582835</v>
      </c>
      <c r="C51">
        <f>AJ35</f>
        <v>600918</v>
      </c>
    </row>
    <row r="52" spans="1:3">
      <c r="A52" s="117">
        <v>20</v>
      </c>
      <c r="B52">
        <f>AK34</f>
        <v>582820</v>
      </c>
      <c r="C52">
        <f>AK35</f>
        <v>600920</v>
      </c>
    </row>
    <row r="53" spans="1:3">
      <c r="A53" s="117">
        <v>21</v>
      </c>
      <c r="B53">
        <f>AL34</f>
        <v>582824</v>
      </c>
      <c r="C53">
        <f>AL35</f>
        <v>600914</v>
      </c>
    </row>
    <row r="54" spans="1:3">
      <c r="A54" s="117">
        <v>22</v>
      </c>
      <c r="B54">
        <f>AM34</f>
        <v>582813</v>
      </c>
      <c r="C54">
        <f>AM35</f>
        <v>600940</v>
      </c>
    </row>
    <row r="55" spans="1:3">
      <c r="A55" s="117">
        <v>23</v>
      </c>
      <c r="B55">
        <f>AN34</f>
        <v>582829</v>
      </c>
      <c r="C55">
        <f>AN35</f>
        <v>600942</v>
      </c>
    </row>
    <row r="56" spans="1:3">
      <c r="A56" s="117">
        <v>24</v>
      </c>
      <c r="B56">
        <f>AO34</f>
        <v>582840</v>
      </c>
      <c r="C56">
        <f>AO35</f>
        <v>600941</v>
      </c>
    </row>
    <row r="57" spans="1:3">
      <c r="A57" t="s">
        <v>113</v>
      </c>
      <c r="B57">
        <f>AP34</f>
        <v>582845.05923999997</v>
      </c>
      <c r="C57">
        <f>AP35</f>
        <v>600904.26309000002</v>
      </c>
    </row>
  </sheetData>
  <sortState xmlns:xlrd2="http://schemas.microsoft.com/office/spreadsheetml/2017/richdata2" ref="C4:D27">
    <sortCondition ref="C3:C27"/>
  </sortState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8"/>
  <dimension ref="A1:AX50"/>
  <sheetViews>
    <sheetView zoomScale="60" zoomScaleNormal="60" workbookViewId="0">
      <selection activeCell="R40" sqref="R40:AW40"/>
    </sheetView>
  </sheetViews>
  <sheetFormatPr defaultRowHeight="15"/>
  <cols>
    <col min="16" max="16" width="5.5703125" customWidth="1"/>
  </cols>
  <sheetData>
    <row r="1" spans="1:50">
      <c r="Q1" s="33" t="s">
        <v>47</v>
      </c>
      <c r="R1" s="33"/>
      <c r="S1" s="33"/>
      <c r="T1" s="33"/>
      <c r="U1" s="33"/>
      <c r="V1" s="33"/>
      <c r="W1" s="33"/>
      <c r="X1" s="33"/>
      <c r="Y1" s="33"/>
      <c r="AX1" s="33" t="s">
        <v>48</v>
      </c>
    </row>
    <row r="2" spans="1:50" ht="16.350000000000001" customHeight="1">
      <c r="Q2" s="45">
        <v>0</v>
      </c>
      <c r="R2" s="45">
        <v>1</v>
      </c>
      <c r="S2" s="45">
        <v>2</v>
      </c>
      <c r="T2" s="45">
        <v>3</v>
      </c>
      <c r="U2" s="45">
        <v>4</v>
      </c>
      <c r="V2" s="45">
        <v>5</v>
      </c>
      <c r="W2" s="45">
        <v>6</v>
      </c>
      <c r="X2" s="45">
        <v>7</v>
      </c>
      <c r="Y2" s="45">
        <v>8</v>
      </c>
      <c r="Z2" s="45">
        <v>9</v>
      </c>
      <c r="AA2" s="45">
        <v>10</v>
      </c>
      <c r="AB2" s="45">
        <v>11</v>
      </c>
      <c r="AC2" s="45">
        <v>12</v>
      </c>
      <c r="AD2" s="45">
        <v>13</v>
      </c>
      <c r="AE2" s="45">
        <v>14</v>
      </c>
      <c r="AF2" s="45">
        <v>15</v>
      </c>
      <c r="AG2" s="45">
        <v>16</v>
      </c>
      <c r="AH2" s="45">
        <v>17</v>
      </c>
      <c r="AI2" s="45">
        <v>18</v>
      </c>
      <c r="AJ2" s="45">
        <v>19</v>
      </c>
      <c r="AK2" s="45">
        <v>20</v>
      </c>
      <c r="AL2" s="45">
        <v>21</v>
      </c>
      <c r="AM2" s="45">
        <v>22</v>
      </c>
      <c r="AN2" s="45">
        <v>23</v>
      </c>
      <c r="AO2" s="45">
        <v>24</v>
      </c>
      <c r="AP2" s="45">
        <v>25</v>
      </c>
      <c r="AQ2" s="45">
        <v>26</v>
      </c>
      <c r="AR2" s="45">
        <v>27</v>
      </c>
      <c r="AS2" s="45">
        <v>28</v>
      </c>
      <c r="AT2" s="45">
        <v>29</v>
      </c>
      <c r="AU2" s="45">
        <v>30</v>
      </c>
      <c r="AV2" s="45">
        <v>31</v>
      </c>
      <c r="AW2" s="45">
        <v>32</v>
      </c>
      <c r="AX2" s="45">
        <v>33</v>
      </c>
    </row>
    <row r="3" spans="1:50">
      <c r="B3" s="30" t="s">
        <v>45</v>
      </c>
      <c r="C3" s="30">
        <f>'Map Template'!U7</f>
        <v>582642.91358000005</v>
      </c>
      <c r="D3" s="30">
        <f>'Map Template'!V7</f>
        <v>600914.80507</v>
      </c>
      <c r="O3" s="33" t="s">
        <v>47</v>
      </c>
      <c r="P3" s="45">
        <v>0</v>
      </c>
      <c r="Q3">
        <f t="shared" ref="Q3:Q36" si="0">SQRT((($C3-$C$3)^2)+(($D3-$D$3)^2))</f>
        <v>0</v>
      </c>
      <c r="R3">
        <f t="shared" ref="R3:R36" si="1">SQRT((($C3-$C$4)^2)+(($D3-$D$4)^2))</f>
        <v>52.046368231770444</v>
      </c>
      <c r="S3">
        <f t="shared" ref="S3:S36" si="2">SQRT((($C3-$C$5)^2)+(($D3-$D$5)^2))</f>
        <v>35.877715731603573</v>
      </c>
      <c r="T3">
        <f t="shared" ref="T3:T36" si="3">SQRT((($C3-$C$6)^2)+(($D3-$D$6)^2))</f>
        <v>16.608493192346142</v>
      </c>
      <c r="U3">
        <f t="shared" ref="U3:U36" si="4">SQRT((($C3-$C$7)^2)+(($D3-$D$7)^2))</f>
        <v>12.579439817453345</v>
      </c>
      <c r="V3">
        <f t="shared" ref="V3:V36" si="5">SQRT((($C3-$C$8)^2)+(($D3-$D$8)^2))</f>
        <v>41.397114466115902</v>
      </c>
      <c r="W3">
        <f t="shared" ref="W3:W36" si="6">SQRT((($C3-$C$9)^2)+(($D3-$D$9)^2))</f>
        <v>38.14961475712937</v>
      </c>
      <c r="X3">
        <f t="shared" ref="X3:X36" si="7">SQRT((($C3-$C$10)^2)+(($D3-$D$10)^2))</f>
        <v>61.909315503535453</v>
      </c>
      <c r="Y3">
        <f t="shared" ref="Y3:Y36" si="8">SQRT((($C3-$C$11)^2)+(($D3-$D$11)^2))</f>
        <v>45.249851117067038</v>
      </c>
      <c r="Z3">
        <f t="shared" ref="Z3:Z36" si="9">SQRT((($C3-$C$12)^2)+(($D3-$D$12)^2))</f>
        <v>76.526467226139857</v>
      </c>
      <c r="AA3">
        <f t="shared" ref="AA3:AN3" si="10">SQRT((($C3-$C$13)^2)+(($D3-$D$13)^2))</f>
        <v>99.347298131912495</v>
      </c>
      <c r="AB3">
        <f t="shared" si="10"/>
        <v>99.347298131912495</v>
      </c>
      <c r="AC3">
        <f t="shared" si="10"/>
        <v>99.347298131912495</v>
      </c>
      <c r="AD3">
        <f t="shared" si="10"/>
        <v>99.347298131912495</v>
      </c>
      <c r="AE3">
        <f t="shared" si="10"/>
        <v>99.347298131912495</v>
      </c>
      <c r="AF3">
        <f t="shared" si="10"/>
        <v>99.347298131912495</v>
      </c>
      <c r="AG3">
        <f t="shared" si="10"/>
        <v>99.347298131912495</v>
      </c>
      <c r="AH3">
        <f t="shared" si="10"/>
        <v>99.347298131912495</v>
      </c>
      <c r="AI3">
        <f t="shared" si="10"/>
        <v>99.347298131912495</v>
      </c>
      <c r="AJ3">
        <f t="shared" si="10"/>
        <v>99.347298131912495</v>
      </c>
      <c r="AK3">
        <f t="shared" si="10"/>
        <v>99.347298131912495</v>
      </c>
      <c r="AL3">
        <f t="shared" si="10"/>
        <v>99.347298131912495</v>
      </c>
      <c r="AM3">
        <f t="shared" si="10"/>
        <v>99.347298131912495</v>
      </c>
      <c r="AN3">
        <f t="shared" si="10"/>
        <v>99.347298131912495</v>
      </c>
      <c r="AO3">
        <f t="shared" ref="AO3:AO36" si="11">SQRT((($C3-$C$27)^2)+(($D3-$D$27)^2))</f>
        <v>115.57819701877028</v>
      </c>
      <c r="AP3">
        <f>SQRT((($C3-$C$28)^2)+(($D3-$D$28)^2))</f>
        <v>192.15665496178261</v>
      </c>
      <c r="AQ3">
        <f>SQRT((($C3-$C$29)^2)+(($D3-$D$29)^2))</f>
        <v>187.1251108379154</v>
      </c>
      <c r="AR3">
        <f>SQRT((($C3-$C$30)^2)+(($D3-$D$30)^2))</f>
        <v>177.91926755161469</v>
      </c>
      <c r="AS3">
        <f>SQRT((($C3-$C$31)^2)+(($D3-$D$31)^2))</f>
        <v>181.11460207863615</v>
      </c>
      <c r="AT3">
        <f>SQRT((($C3-$C$32)^2)+(($D3-$D$32)^2))</f>
        <v>172.24678367419153</v>
      </c>
      <c r="AU3">
        <f>SQRT((($C3-$C$33)^2)+(($D3-$D$33)^2))</f>
        <v>187.78429169156323</v>
      </c>
      <c r="AV3">
        <f>SQRT((($C3-$C$34)^2)+(($D3-$D$34)^2))</f>
        <v>202.08802360877445</v>
      </c>
      <c r="AW3">
        <f>SQRT((($C3-$C$35)^2)+(($D3-$D$35)^2))</f>
        <v>198.81959487460227</v>
      </c>
      <c r="AX3">
        <f t="shared" ref="AX3:AX36" si="12">SQRT((($C3-$C$36)^2)+(($D3-$D$36)^2))</f>
        <v>202.42035766968698</v>
      </c>
    </row>
    <row r="4" spans="1:50">
      <c r="B4" s="45">
        <v>1</v>
      </c>
      <c r="C4">
        <f>Rand!R5</f>
        <v>582683</v>
      </c>
      <c r="D4">
        <f>Rand!S4</f>
        <v>600948</v>
      </c>
      <c r="O4" s="33"/>
      <c r="P4" s="45">
        <v>1</v>
      </c>
      <c r="Q4">
        <f t="shared" si="0"/>
        <v>52.046368231770444</v>
      </c>
      <c r="R4">
        <f t="shared" si="1"/>
        <v>0</v>
      </c>
      <c r="S4">
        <f t="shared" si="2"/>
        <v>22.803508501982758</v>
      </c>
      <c r="T4">
        <f t="shared" si="3"/>
        <v>36.055512754639892</v>
      </c>
      <c r="U4">
        <f t="shared" si="4"/>
        <v>42.544094772365298</v>
      </c>
      <c r="V4">
        <f t="shared" si="5"/>
        <v>36.878177829171548</v>
      </c>
      <c r="W4">
        <f t="shared" si="6"/>
        <v>31.064449134018133</v>
      </c>
      <c r="X4">
        <f t="shared" si="7"/>
        <v>9.8994949366116654</v>
      </c>
      <c r="Y4">
        <f t="shared" si="8"/>
        <v>23.345235059857504</v>
      </c>
      <c r="Z4">
        <f t="shared" si="9"/>
        <v>43.829214001622255</v>
      </c>
      <c r="AA4">
        <f t="shared" ref="AA4:AA36" si="13">SQRT((($C4-$C$13)^2)+(($D4-$D$13)^2))</f>
        <v>64.474801279259481</v>
      </c>
      <c r="AB4">
        <f t="shared" ref="AB4:AB28" si="14">SQRT((($C4-$C$14)^2)+(($D4-$D$14)^2))</f>
        <v>17.262676501632068</v>
      </c>
      <c r="AC4">
        <f t="shared" ref="AC4:AC28" si="15">SQRT((($C4-$C$15)^2)+(($D4-$D$15)^2))</f>
        <v>24</v>
      </c>
      <c r="AD4">
        <f t="shared" ref="AD4:AD36" si="16">SQRT((($C4-$C$16)^2)+(($D4-$D$16)^2))</f>
        <v>39.05124837953327</v>
      </c>
      <c r="AE4">
        <f t="shared" ref="AE4:AE36" si="17">SQRT((($C4-$C$17)^2)+(($D4-$D$17)^2))</f>
        <v>44.181444068749045</v>
      </c>
      <c r="AF4">
        <f t="shared" ref="AF4:AF36" si="18">SQRT((($C4-$C$18)^2)+(($D4-$D$18)^2))</f>
        <v>48.166378315169183</v>
      </c>
      <c r="AG4">
        <f t="shared" ref="AG4:AG36" si="19">SQRT((($C4-$C$19)^2)+(($D4-$D$19)^2))</f>
        <v>55.470712993434653</v>
      </c>
      <c r="AH4">
        <f t="shared" ref="AH4:AH36" si="20">SQRT((($C4-$C$20)^2)+(($D4-$D$20)^2))</f>
        <v>89.554452708952439</v>
      </c>
      <c r="AI4">
        <f t="shared" ref="AI4:AI36" si="21">SQRT((($C4-$C$21)^2)+(($D4-$D$21)^2))</f>
        <v>93.770997648526702</v>
      </c>
      <c r="AJ4">
        <f t="shared" ref="AJ4:AJ36" si="22">SQRT((($C4-$C$22)^2)+(($D4-$D$22)^2))</f>
        <v>107.28000745712129</v>
      </c>
      <c r="AK4">
        <f t="shared" ref="AK4:AK36" si="23">SQRT((($C4-$C$23)^2)+(($D4-$D$23)^2))</f>
        <v>106.21205204683694</v>
      </c>
      <c r="AL4">
        <f t="shared" ref="AL4:AL36" si="24">SQRT((($C4-$C$24)^2)+(($D4-$D$24)^2))</f>
        <v>83.096329642168911</v>
      </c>
      <c r="AM4">
        <f t="shared" ref="AM4:AM36" si="25">SQRT((($C4-$C$25)^2)+(($D4-$D$25)^2))</f>
        <v>98.35141076771599</v>
      </c>
      <c r="AN4">
        <f t="shared" ref="AN4:AN36" si="26">SQRT((($C4-$C$26)^2)+(($D4-$D$26)^2))</f>
        <v>75.325958341065927</v>
      </c>
      <c r="AO4">
        <f t="shared" si="11"/>
        <v>72.17340230306452</v>
      </c>
      <c r="AP4">
        <f t="shared" ref="AP4:AP36" si="27">SQRT((($C4-$C$28)^2)+(($D4-$D$28)^2))</f>
        <v>154.55743269089325</v>
      </c>
      <c r="AQ4">
        <f t="shared" ref="AQ4:AQ36" si="28">SQRT((($C4-$C$29)^2)+(($D4-$D$29)^2))</f>
        <v>151.58495967608397</v>
      </c>
      <c r="AR4">
        <f t="shared" ref="AR4:AR36" si="29">SQRT((($C4-$C$30)^2)+(($D4-$D$30)^2))</f>
        <v>137.93114224133723</v>
      </c>
      <c r="AS4">
        <f t="shared" ref="AS4:AS36" si="30">SQRT((($C4-$C$31)^2)+(($D4-$D$31)^2))</f>
        <v>144.15616532080756</v>
      </c>
      <c r="AT4">
        <f t="shared" ref="AT4:AT36" si="31">SQRT((($C4-$C$32)^2)+(($D4-$D$32)^2))</f>
        <v>130.13838787997952</v>
      </c>
      <c r="AU4">
        <f t="shared" ref="AU4:AU36" si="32">SQRT((($C4-$C$33)^2)+(($D4-$D$33)^2))</f>
        <v>146.21901381147393</v>
      </c>
      <c r="AV4">
        <f t="shared" ref="AV4:AV36" si="33">SQRT((($C4-$C$34)^2)+(($D4-$D$34)^2))</f>
        <v>165.5294535724685</v>
      </c>
      <c r="AW4">
        <f t="shared" ref="AW4:AW36" si="34">SQRT((($C4-$C$35)^2)+(($D4-$D$35)^2))</f>
        <v>157.15597347857954</v>
      </c>
      <c r="AX4">
        <f t="shared" si="12"/>
        <v>167.8574233262118</v>
      </c>
    </row>
    <row r="5" spans="1:50">
      <c r="B5" s="45">
        <v>2</v>
      </c>
      <c r="C5">
        <f>Rand!R4</f>
        <v>582677</v>
      </c>
      <c r="D5">
        <f>Rand!S5</f>
        <v>600926</v>
      </c>
      <c r="O5" s="33"/>
      <c r="P5" s="45">
        <v>2</v>
      </c>
      <c r="Q5">
        <f t="shared" si="0"/>
        <v>35.877715731603573</v>
      </c>
      <c r="R5">
        <f t="shared" si="1"/>
        <v>22.803508501982758</v>
      </c>
      <c r="S5">
        <f t="shared" si="2"/>
        <v>0</v>
      </c>
      <c r="T5">
        <f t="shared" si="3"/>
        <v>24.083189157584592</v>
      </c>
      <c r="U5">
        <f t="shared" si="4"/>
        <v>31.016124838541646</v>
      </c>
      <c r="V5">
        <f t="shared" si="5"/>
        <v>42.426406871192853</v>
      </c>
      <c r="W5">
        <f t="shared" si="6"/>
        <v>9.8488578017961039</v>
      </c>
      <c r="X5">
        <f t="shared" si="7"/>
        <v>31.780497164141408</v>
      </c>
      <c r="Y5">
        <f t="shared" si="8"/>
        <v>10.04987562112089</v>
      </c>
      <c r="Z5">
        <f t="shared" si="9"/>
        <v>42.107006542854599</v>
      </c>
      <c r="AA5">
        <f t="shared" si="13"/>
        <v>65.12296062065974</v>
      </c>
      <c r="AB5">
        <f t="shared" si="14"/>
        <v>33.97057550292606</v>
      </c>
      <c r="AC5">
        <f t="shared" si="15"/>
        <v>37.20215047547655</v>
      </c>
      <c r="AD5">
        <f t="shared" si="16"/>
        <v>51</v>
      </c>
      <c r="AE5">
        <f t="shared" si="17"/>
        <v>56.356011214421486</v>
      </c>
      <c r="AF5">
        <f t="shared" si="18"/>
        <v>56.920997883030829</v>
      </c>
      <c r="AG5">
        <f t="shared" si="19"/>
        <v>52.773099207835045</v>
      </c>
      <c r="AH5">
        <f t="shared" si="20"/>
        <v>89.10667763978185</v>
      </c>
      <c r="AI5">
        <f t="shared" si="21"/>
        <v>99.503768772845987</v>
      </c>
      <c r="AJ5">
        <f t="shared" si="22"/>
        <v>109.29318368498559</v>
      </c>
      <c r="AK5">
        <f t="shared" si="23"/>
        <v>111.16204388189342</v>
      </c>
      <c r="AL5">
        <f t="shared" si="24"/>
        <v>90.801982357215081</v>
      </c>
      <c r="AM5">
        <f t="shared" si="25"/>
        <v>99.503768772845987</v>
      </c>
      <c r="AN5">
        <f t="shared" si="26"/>
        <v>82.37718130647589</v>
      </c>
      <c r="AO5">
        <f t="shared" si="11"/>
        <v>79.831071645068121</v>
      </c>
      <c r="AP5">
        <f t="shared" si="27"/>
        <v>158.11388300841898</v>
      </c>
      <c r="AQ5">
        <f t="shared" si="28"/>
        <v>153.73353570382747</v>
      </c>
      <c r="AR5">
        <f t="shared" si="29"/>
        <v>143.1258187749506</v>
      </c>
      <c r="AS5">
        <f t="shared" si="30"/>
        <v>147.21752613055281</v>
      </c>
      <c r="AT5">
        <f t="shared" si="31"/>
        <v>136.93794214898952</v>
      </c>
      <c r="AU5">
        <f t="shared" si="32"/>
        <v>152.64337522473747</v>
      </c>
      <c r="AV5">
        <f t="shared" si="33"/>
        <v>168.4280261714184</v>
      </c>
      <c r="AW5">
        <f t="shared" si="34"/>
        <v>163.68872899500442</v>
      </c>
      <c r="AX5">
        <f t="shared" si="12"/>
        <v>169.45914376543902</v>
      </c>
    </row>
    <row r="6" spans="1:50">
      <c r="B6" s="45">
        <v>3</v>
      </c>
      <c r="C6">
        <f>Rand!R6</f>
        <v>582653</v>
      </c>
      <c r="D6">
        <f>Rand!S9</f>
        <v>600928</v>
      </c>
      <c r="O6" s="33"/>
      <c r="P6" s="45">
        <v>3</v>
      </c>
      <c r="Q6">
        <f t="shared" si="0"/>
        <v>16.608493192346142</v>
      </c>
      <c r="R6">
        <f t="shared" si="1"/>
        <v>36.055512754639892</v>
      </c>
      <c r="S6">
        <f t="shared" si="2"/>
        <v>24.083189157584592</v>
      </c>
      <c r="T6">
        <f t="shared" si="3"/>
        <v>0</v>
      </c>
      <c r="U6">
        <f t="shared" si="4"/>
        <v>7.0710678118654755</v>
      </c>
      <c r="V6">
        <f t="shared" si="5"/>
        <v>28.635642126552707</v>
      </c>
      <c r="W6">
        <f t="shared" si="6"/>
        <v>30.083217912982647</v>
      </c>
      <c r="X6">
        <f t="shared" si="7"/>
        <v>45.803929962395145</v>
      </c>
      <c r="Y6">
        <f t="shared" si="8"/>
        <v>34.132096331752024</v>
      </c>
      <c r="Z6">
        <f t="shared" si="9"/>
        <v>66.189122973491649</v>
      </c>
      <c r="AA6">
        <f t="shared" si="13"/>
        <v>89.202017914394744</v>
      </c>
      <c r="AB6">
        <f t="shared" si="14"/>
        <v>52.32590180780452</v>
      </c>
      <c r="AC6">
        <f t="shared" si="15"/>
        <v>57.584720195551874</v>
      </c>
      <c r="AD6">
        <f t="shared" si="16"/>
        <v>72.422372233999624</v>
      </c>
      <c r="AE6">
        <f t="shared" si="17"/>
        <v>77.794601355106892</v>
      </c>
      <c r="AF6">
        <f t="shared" si="18"/>
        <v>79.624116949577527</v>
      </c>
      <c r="AG6">
        <f t="shared" si="19"/>
        <v>76.791926658991954</v>
      </c>
      <c r="AH6">
        <f t="shared" si="20"/>
        <v>113.13708498984761</v>
      </c>
      <c r="AI6">
        <f t="shared" si="21"/>
        <v>123.25988804148737</v>
      </c>
      <c r="AJ6">
        <f t="shared" si="22"/>
        <v>133.37541002748594</v>
      </c>
      <c r="AK6">
        <f t="shared" si="23"/>
        <v>135.05924625881784</v>
      </c>
      <c r="AL6">
        <f t="shared" si="24"/>
        <v>114.12712210513327</v>
      </c>
      <c r="AM6">
        <f t="shared" si="25"/>
        <v>123.58397954427588</v>
      </c>
      <c r="AN6">
        <f t="shared" si="26"/>
        <v>105.80170130957252</v>
      </c>
      <c r="AO6">
        <f t="shared" si="11"/>
        <v>103.0970416646375</v>
      </c>
      <c r="AP6">
        <f t="shared" si="27"/>
        <v>182.17573932881405</v>
      </c>
      <c r="AQ6">
        <f t="shared" si="28"/>
        <v>177.81451009408653</v>
      </c>
      <c r="AR6">
        <f t="shared" si="29"/>
        <v>167.04789732289359</v>
      </c>
      <c r="AS6">
        <f t="shared" si="30"/>
        <v>171.29214809792072</v>
      </c>
      <c r="AT6">
        <f t="shared" si="31"/>
        <v>160.61133210331082</v>
      </c>
      <c r="AU6">
        <f t="shared" si="32"/>
        <v>176.40861656959956</v>
      </c>
      <c r="AV6">
        <f t="shared" si="33"/>
        <v>192.50974001333023</v>
      </c>
      <c r="AW6">
        <f t="shared" si="34"/>
        <v>187.45132701584163</v>
      </c>
      <c r="AX6">
        <f t="shared" si="12"/>
        <v>193.5205223373334</v>
      </c>
    </row>
    <row r="7" spans="1:50">
      <c r="B7" s="45">
        <v>4</v>
      </c>
      <c r="C7">
        <f>Rand!R3</f>
        <v>582646</v>
      </c>
      <c r="D7">
        <f>Rand!S7</f>
        <v>600927</v>
      </c>
      <c r="O7" s="33"/>
      <c r="P7" s="45">
        <v>4</v>
      </c>
      <c r="Q7">
        <f t="shared" si="0"/>
        <v>12.579439817453345</v>
      </c>
      <c r="R7">
        <f t="shared" si="1"/>
        <v>42.544094772365298</v>
      </c>
      <c r="S7">
        <f t="shared" si="2"/>
        <v>31.016124838541646</v>
      </c>
      <c r="T7">
        <f t="shared" si="3"/>
        <v>7.0710678118654755</v>
      </c>
      <c r="U7">
        <f t="shared" si="4"/>
        <v>0</v>
      </c>
      <c r="V7">
        <f t="shared" si="5"/>
        <v>29.017236257093817</v>
      </c>
      <c r="W7">
        <f t="shared" si="6"/>
        <v>36.400549446402593</v>
      </c>
      <c r="X7">
        <f t="shared" si="7"/>
        <v>52.153619241621193</v>
      </c>
      <c r="Y7">
        <f t="shared" si="8"/>
        <v>41.048751503547585</v>
      </c>
      <c r="Z7">
        <f t="shared" si="9"/>
        <v>73.109506905736964</v>
      </c>
      <c r="AA7">
        <f t="shared" si="13"/>
        <v>96.13012014972206</v>
      </c>
      <c r="AB7">
        <f t="shared" si="14"/>
        <v>59.093146810776631</v>
      </c>
      <c r="AC7">
        <f t="shared" si="15"/>
        <v>64.513564465157245</v>
      </c>
      <c r="AD7">
        <f t="shared" si="16"/>
        <v>79.404030124421269</v>
      </c>
      <c r="AE7">
        <f t="shared" si="17"/>
        <v>84.77027781009096</v>
      </c>
      <c r="AF7">
        <f t="shared" si="18"/>
        <v>86.683331731077345</v>
      </c>
      <c r="AG7">
        <f t="shared" si="19"/>
        <v>83.600239234107462</v>
      </c>
      <c r="AH7">
        <f t="shared" si="20"/>
        <v>119.94165248152953</v>
      </c>
      <c r="AI7">
        <f t="shared" si="21"/>
        <v>130.31116606031887</v>
      </c>
      <c r="AJ7">
        <f t="shared" si="22"/>
        <v>140.28898745090436</v>
      </c>
      <c r="AK7">
        <f t="shared" si="23"/>
        <v>142.08800090085018</v>
      </c>
      <c r="AL7">
        <f t="shared" si="24"/>
        <v>121.19818480488888</v>
      </c>
      <c r="AM7">
        <f t="shared" si="25"/>
        <v>130.46455457326331</v>
      </c>
      <c r="AN7">
        <f t="shared" si="26"/>
        <v>112.8716084761797</v>
      </c>
      <c r="AO7">
        <f t="shared" si="11"/>
        <v>110.16805344563369</v>
      </c>
      <c r="AP7">
        <f t="shared" si="27"/>
        <v>189.12958520548815</v>
      </c>
      <c r="AQ7">
        <f t="shared" si="28"/>
        <v>184.69434208984313</v>
      </c>
      <c r="AR7">
        <f t="shared" si="29"/>
        <v>174.07182425654074</v>
      </c>
      <c r="AS7">
        <f t="shared" si="30"/>
        <v>178.22738285684386</v>
      </c>
      <c r="AT7">
        <f t="shared" si="31"/>
        <v>167.67229944149989</v>
      </c>
      <c r="AU7">
        <f t="shared" si="32"/>
        <v>183.46116755324545</v>
      </c>
      <c r="AV7">
        <f t="shared" si="33"/>
        <v>199.42417105255822</v>
      </c>
      <c r="AW7">
        <f t="shared" si="34"/>
        <v>194.50449866262733</v>
      </c>
      <c r="AX7">
        <f t="shared" si="12"/>
        <v>200.353557756567</v>
      </c>
    </row>
    <row r="8" spans="1:50">
      <c r="B8" s="45">
        <v>5</v>
      </c>
      <c r="C8">
        <f>Rand!R7</f>
        <v>582647</v>
      </c>
      <c r="D8">
        <f>Rand!S2</f>
        <v>600956</v>
      </c>
      <c r="O8" s="33"/>
      <c r="P8" s="45">
        <v>5</v>
      </c>
      <c r="Q8">
        <f t="shared" si="0"/>
        <v>41.397114466115902</v>
      </c>
      <c r="R8">
        <f t="shared" si="1"/>
        <v>36.878177829171548</v>
      </c>
      <c r="S8">
        <f t="shared" si="2"/>
        <v>42.426406871192853</v>
      </c>
      <c r="T8">
        <f t="shared" si="3"/>
        <v>28.635642126552707</v>
      </c>
      <c r="U8">
        <f t="shared" si="4"/>
        <v>29.017236257093817</v>
      </c>
      <c r="V8">
        <f t="shared" si="5"/>
        <v>0</v>
      </c>
      <c r="W8">
        <f t="shared" si="6"/>
        <v>51.739733281106119</v>
      </c>
      <c r="X8">
        <f t="shared" si="7"/>
        <v>43.011626335213137</v>
      </c>
      <c r="Y8">
        <f t="shared" si="8"/>
        <v>50.606323715519977</v>
      </c>
      <c r="Z8">
        <f t="shared" si="9"/>
        <v>79.202272694664515</v>
      </c>
      <c r="AA8">
        <f t="shared" si="13"/>
        <v>100.90094152187085</v>
      </c>
      <c r="AB8">
        <f t="shared" si="14"/>
        <v>53.235326616824658</v>
      </c>
      <c r="AC8">
        <f t="shared" si="15"/>
        <v>60.530983801686226</v>
      </c>
      <c r="AD8">
        <f t="shared" si="16"/>
        <v>75.23961722390672</v>
      </c>
      <c r="AE8">
        <f t="shared" si="17"/>
        <v>80.09993757800315</v>
      </c>
      <c r="AF8">
        <f t="shared" si="18"/>
        <v>84.852813742385706</v>
      </c>
      <c r="AG8">
        <f t="shared" si="19"/>
        <v>90.801982357215081</v>
      </c>
      <c r="AH8">
        <f t="shared" si="20"/>
        <v>125.93649193144932</v>
      </c>
      <c r="AI8">
        <f t="shared" si="21"/>
        <v>130.54118124178285</v>
      </c>
      <c r="AJ8">
        <f t="shared" si="22"/>
        <v>144.10065926289164</v>
      </c>
      <c r="AK8">
        <f t="shared" si="23"/>
        <v>143.02796929272262</v>
      </c>
      <c r="AL8">
        <f t="shared" si="24"/>
        <v>119.60351165413162</v>
      </c>
      <c r="AM8">
        <f t="shared" si="25"/>
        <v>135.05924625881784</v>
      </c>
      <c r="AN8">
        <f t="shared" si="26"/>
        <v>112.00892821556681</v>
      </c>
      <c r="AO8">
        <f t="shared" si="11"/>
        <v>108.77959367454909</v>
      </c>
      <c r="AP8">
        <f t="shared" si="27"/>
        <v>191.41577782408638</v>
      </c>
      <c r="AQ8">
        <f t="shared" si="28"/>
        <v>188.45158529447292</v>
      </c>
      <c r="AR8">
        <f t="shared" si="29"/>
        <v>174.65680633745711</v>
      </c>
      <c r="AS8">
        <f t="shared" si="30"/>
        <v>181.03314613628081</v>
      </c>
      <c r="AT8">
        <f t="shared" si="31"/>
        <v>166.5893153836704</v>
      </c>
      <c r="AU8">
        <f t="shared" si="32"/>
        <v>182.70194306574848</v>
      </c>
      <c r="AV8">
        <f t="shared" si="33"/>
        <v>202.40553352119602</v>
      </c>
      <c r="AW8">
        <f t="shared" si="34"/>
        <v>193.58202395883765</v>
      </c>
      <c r="AX8">
        <f t="shared" si="12"/>
        <v>204.70508153368542</v>
      </c>
    </row>
    <row r="9" spans="1:50">
      <c r="B9" s="45">
        <v>6</v>
      </c>
      <c r="C9">
        <f>Rand!R8</f>
        <v>582681</v>
      </c>
      <c r="D9">
        <f>Rand!S8</f>
        <v>600917</v>
      </c>
      <c r="O9" s="33"/>
      <c r="P9" s="45">
        <v>6</v>
      </c>
      <c r="Q9">
        <f t="shared" si="0"/>
        <v>38.14961475712937</v>
      </c>
      <c r="R9">
        <f t="shared" si="1"/>
        <v>31.064449134018133</v>
      </c>
      <c r="S9">
        <f t="shared" si="2"/>
        <v>9.8488578017961039</v>
      </c>
      <c r="T9">
        <f t="shared" si="3"/>
        <v>30.083217912982647</v>
      </c>
      <c r="U9">
        <f t="shared" si="4"/>
        <v>36.400549446402593</v>
      </c>
      <c r="V9">
        <f t="shared" si="5"/>
        <v>51.739733281106119</v>
      </c>
      <c r="W9">
        <f t="shared" si="6"/>
        <v>0</v>
      </c>
      <c r="X9">
        <f t="shared" si="7"/>
        <v>39.05124837953327</v>
      </c>
      <c r="Y9">
        <f t="shared" si="8"/>
        <v>10</v>
      </c>
      <c r="Z9">
        <f t="shared" si="9"/>
        <v>38.470768123342687</v>
      </c>
      <c r="AA9">
        <f t="shared" si="13"/>
        <v>61.204574992397426</v>
      </c>
      <c r="AB9">
        <f t="shared" si="14"/>
        <v>38.948684188300895</v>
      </c>
      <c r="AC9">
        <f t="shared" si="15"/>
        <v>40.459856648287818</v>
      </c>
      <c r="AD9">
        <f t="shared" si="16"/>
        <v>52.630789467763066</v>
      </c>
      <c r="AE9">
        <f t="shared" si="17"/>
        <v>57.801384066473702</v>
      </c>
      <c r="AF9">
        <f t="shared" si="18"/>
        <v>56.824290580701486</v>
      </c>
      <c r="AG9">
        <f t="shared" si="19"/>
        <v>48</v>
      </c>
      <c r="AH9">
        <f t="shared" si="20"/>
        <v>84.148677945645701</v>
      </c>
      <c r="AI9">
        <f t="shared" si="21"/>
        <v>96.881370758262918</v>
      </c>
      <c r="AJ9">
        <f t="shared" si="22"/>
        <v>105.00476179678711</v>
      </c>
      <c r="AK9">
        <f t="shared" si="23"/>
        <v>108.04628637764465</v>
      </c>
      <c r="AL9">
        <f t="shared" si="24"/>
        <v>89.185200566013194</v>
      </c>
      <c r="AM9">
        <f t="shared" si="25"/>
        <v>95.005263012108969</v>
      </c>
      <c r="AN9">
        <f t="shared" si="26"/>
        <v>80.65358020571685</v>
      </c>
      <c r="AO9">
        <f t="shared" si="11"/>
        <v>78.434686204510314</v>
      </c>
      <c r="AP9">
        <f t="shared" si="27"/>
        <v>154.02921800749363</v>
      </c>
      <c r="AQ9">
        <f t="shared" si="28"/>
        <v>149.12075643584967</v>
      </c>
      <c r="AR9">
        <f t="shared" si="29"/>
        <v>139.80700983856281</v>
      </c>
      <c r="AS9">
        <f t="shared" si="30"/>
        <v>143.00349646075091</v>
      </c>
      <c r="AT9">
        <f t="shared" si="31"/>
        <v>134.34656675925888</v>
      </c>
      <c r="AU9">
        <f t="shared" si="32"/>
        <v>149.77650015940418</v>
      </c>
      <c r="AV9">
        <f t="shared" si="33"/>
        <v>164.02743672934722</v>
      </c>
      <c r="AW9">
        <f t="shared" si="34"/>
        <v>160.80111939908875</v>
      </c>
      <c r="AX9">
        <f t="shared" si="12"/>
        <v>164.55291886112607</v>
      </c>
    </row>
    <row r="10" spans="1:50">
      <c r="B10" s="45">
        <v>7</v>
      </c>
      <c r="C10">
        <f>Rand!R9</f>
        <v>582690</v>
      </c>
      <c r="D10">
        <f>Rand!S3</f>
        <v>600955</v>
      </c>
      <c r="O10" s="33"/>
      <c r="P10" s="45">
        <v>7</v>
      </c>
      <c r="Q10">
        <f t="shared" si="0"/>
        <v>61.909315503535453</v>
      </c>
      <c r="R10">
        <f t="shared" si="1"/>
        <v>9.8994949366116654</v>
      </c>
      <c r="S10">
        <f t="shared" si="2"/>
        <v>31.780497164141408</v>
      </c>
      <c r="T10">
        <f t="shared" si="3"/>
        <v>45.803929962395145</v>
      </c>
      <c r="U10">
        <f t="shared" si="4"/>
        <v>52.153619241621193</v>
      </c>
      <c r="V10">
        <f t="shared" si="5"/>
        <v>43.011626335213137</v>
      </c>
      <c r="W10">
        <f t="shared" si="6"/>
        <v>39.05124837953327</v>
      </c>
      <c r="X10">
        <f t="shared" si="7"/>
        <v>0</v>
      </c>
      <c r="Y10">
        <f t="shared" si="8"/>
        <v>30.14962686336267</v>
      </c>
      <c r="Z10">
        <f t="shared" si="9"/>
        <v>43.185645763378368</v>
      </c>
      <c r="AA10">
        <f t="shared" si="13"/>
        <v>61.587336360651285</v>
      </c>
      <c r="AB10">
        <f t="shared" si="14"/>
        <v>10.770329614269007</v>
      </c>
      <c r="AC10">
        <f t="shared" si="15"/>
        <v>18.384776310850235</v>
      </c>
      <c r="AD10">
        <f t="shared" si="16"/>
        <v>32.388269481403292</v>
      </c>
      <c r="AE10">
        <f t="shared" si="17"/>
        <v>37.12142238654117</v>
      </c>
      <c r="AF10">
        <f t="shared" si="18"/>
        <v>42.449970553582247</v>
      </c>
      <c r="AG10">
        <f t="shared" si="19"/>
        <v>54.451813560247928</v>
      </c>
      <c r="AH10">
        <f t="shared" si="20"/>
        <v>86.452298986203942</v>
      </c>
      <c r="AI10">
        <f t="shared" si="21"/>
        <v>88.073832663283142</v>
      </c>
      <c r="AJ10">
        <f t="shared" si="22"/>
        <v>102.88342918079665</v>
      </c>
      <c r="AK10">
        <f t="shared" si="23"/>
        <v>100.66280345788111</v>
      </c>
      <c r="AL10">
        <f t="shared" si="24"/>
        <v>76.791926658991954</v>
      </c>
      <c r="AM10">
        <f t="shared" si="25"/>
        <v>94.429868156214212</v>
      </c>
      <c r="AN10">
        <f t="shared" si="26"/>
        <v>69.426219830839131</v>
      </c>
      <c r="AO10">
        <f t="shared" si="11"/>
        <v>66.098411478642959</v>
      </c>
      <c r="AP10">
        <f t="shared" si="27"/>
        <v>149.16433890176299</v>
      </c>
      <c r="AQ10">
        <f t="shared" si="28"/>
        <v>146.75149062275312</v>
      </c>
      <c r="AR10">
        <f t="shared" si="29"/>
        <v>132.01893803541975</v>
      </c>
      <c r="AS10">
        <f t="shared" si="30"/>
        <v>139.01438774457844</v>
      </c>
      <c r="AT10">
        <f t="shared" si="31"/>
        <v>123.68508398347798</v>
      </c>
      <c r="AU10">
        <f t="shared" si="32"/>
        <v>139.80700983856281</v>
      </c>
      <c r="AV10">
        <f t="shared" si="33"/>
        <v>160.33090781256121</v>
      </c>
      <c r="AW10">
        <f t="shared" si="34"/>
        <v>150.65191668213185</v>
      </c>
      <c r="AX10">
        <f t="shared" si="12"/>
        <v>163.14901760573105</v>
      </c>
    </row>
    <row r="11" spans="1:50">
      <c r="B11" s="45">
        <v>8</v>
      </c>
      <c r="C11">
        <f>Rand!R2</f>
        <v>582687</v>
      </c>
      <c r="D11">
        <f>Rand!S6</f>
        <v>600925</v>
      </c>
      <c r="O11" s="33"/>
      <c r="P11" s="45">
        <v>8</v>
      </c>
      <c r="Q11">
        <f t="shared" si="0"/>
        <v>45.249851117067038</v>
      </c>
      <c r="R11">
        <f t="shared" si="1"/>
        <v>23.345235059857504</v>
      </c>
      <c r="S11">
        <f t="shared" si="2"/>
        <v>10.04987562112089</v>
      </c>
      <c r="T11">
        <f t="shared" si="3"/>
        <v>34.132096331752024</v>
      </c>
      <c r="U11">
        <f t="shared" si="4"/>
        <v>41.048751503547585</v>
      </c>
      <c r="V11">
        <f t="shared" si="5"/>
        <v>50.606323715519977</v>
      </c>
      <c r="W11">
        <f t="shared" si="6"/>
        <v>10</v>
      </c>
      <c r="X11">
        <f t="shared" si="7"/>
        <v>30.14962686336267</v>
      </c>
      <c r="Y11">
        <f t="shared" si="8"/>
        <v>0</v>
      </c>
      <c r="Z11">
        <f t="shared" si="9"/>
        <v>32.062439083762797</v>
      </c>
      <c r="AA11">
        <f t="shared" si="13"/>
        <v>55.081757415681643</v>
      </c>
      <c r="AB11">
        <f t="shared" si="14"/>
        <v>29.068883707497267</v>
      </c>
      <c r="AC11">
        <f t="shared" si="15"/>
        <v>30.479501308256342</v>
      </c>
      <c r="AD11">
        <f t="shared" si="16"/>
        <v>43.011626335213137</v>
      </c>
      <c r="AE11">
        <f t="shared" si="17"/>
        <v>48.259714048054619</v>
      </c>
      <c r="AF11">
        <f t="shared" si="18"/>
        <v>47.927027865287037</v>
      </c>
      <c r="AG11">
        <f t="shared" si="19"/>
        <v>42.755116652863897</v>
      </c>
      <c r="AH11">
        <f t="shared" si="20"/>
        <v>79.075912893876861</v>
      </c>
      <c r="AI11">
        <f t="shared" si="21"/>
        <v>89.677198885781436</v>
      </c>
      <c r="AJ11">
        <f t="shared" si="22"/>
        <v>99.247166206396045</v>
      </c>
      <c r="AK11">
        <f t="shared" si="23"/>
        <v>101.24228365658294</v>
      </c>
      <c r="AL11">
        <f t="shared" si="24"/>
        <v>81.252692263087511</v>
      </c>
      <c r="AM11">
        <f t="shared" si="25"/>
        <v>89.453898741195175</v>
      </c>
      <c r="AN11">
        <f t="shared" si="26"/>
        <v>72.780491891715045</v>
      </c>
      <c r="AO11">
        <f t="shared" si="11"/>
        <v>70.342021580275897</v>
      </c>
      <c r="AP11">
        <f t="shared" si="27"/>
        <v>148.08443537387717</v>
      </c>
      <c r="AQ11">
        <f t="shared" si="28"/>
        <v>143.68368035375485</v>
      </c>
      <c r="AR11">
        <f t="shared" si="29"/>
        <v>133.18408313308313</v>
      </c>
      <c r="AS11">
        <f t="shared" si="30"/>
        <v>137.17871555019022</v>
      </c>
      <c r="AT11">
        <f t="shared" si="31"/>
        <v>127.1416532848303</v>
      </c>
      <c r="AU11">
        <f t="shared" si="32"/>
        <v>142.79005567615695</v>
      </c>
      <c r="AV11">
        <f t="shared" si="33"/>
        <v>158.38244852255568</v>
      </c>
      <c r="AW11">
        <f t="shared" si="34"/>
        <v>153.83432646844463</v>
      </c>
      <c r="AX11">
        <f t="shared" si="12"/>
        <v>159.41374716666161</v>
      </c>
    </row>
    <row r="12" spans="1:50">
      <c r="A12" s="42"/>
      <c r="B12" s="45">
        <v>9</v>
      </c>
      <c r="C12">
        <f>Rand!R15</f>
        <v>582719</v>
      </c>
      <c r="D12">
        <f>Rand!S17</f>
        <v>600923</v>
      </c>
      <c r="P12" s="45">
        <v>9</v>
      </c>
      <c r="Q12">
        <f t="shared" si="0"/>
        <v>76.526467226139857</v>
      </c>
      <c r="R12">
        <f t="shared" si="1"/>
        <v>43.829214001622255</v>
      </c>
      <c r="S12">
        <f t="shared" si="2"/>
        <v>42.107006542854599</v>
      </c>
      <c r="T12">
        <f t="shared" si="3"/>
        <v>66.189122973491649</v>
      </c>
      <c r="U12">
        <f t="shared" si="4"/>
        <v>73.109506905736964</v>
      </c>
      <c r="V12">
        <f t="shared" si="5"/>
        <v>79.202272694664515</v>
      </c>
      <c r="W12">
        <f t="shared" si="6"/>
        <v>38.470768123342687</v>
      </c>
      <c r="X12">
        <f t="shared" si="7"/>
        <v>43.185645763378368</v>
      </c>
      <c r="Y12">
        <f t="shared" si="8"/>
        <v>32.062439083762797</v>
      </c>
      <c r="Z12">
        <f t="shared" si="9"/>
        <v>0</v>
      </c>
      <c r="AA12">
        <f t="shared" si="13"/>
        <v>23.021728866442675</v>
      </c>
      <c r="AB12">
        <f t="shared" si="14"/>
        <v>33.837848631377263</v>
      </c>
      <c r="AC12">
        <f t="shared" si="15"/>
        <v>27.730849247724095</v>
      </c>
      <c r="AD12">
        <f t="shared" si="16"/>
        <v>27.166155414412248</v>
      </c>
      <c r="AE12">
        <f t="shared" si="17"/>
        <v>30.083217912982647</v>
      </c>
      <c r="AF12">
        <f t="shared" si="18"/>
        <v>24.186773244895647</v>
      </c>
      <c r="AG12">
        <f t="shared" si="19"/>
        <v>11.661903789690601</v>
      </c>
      <c r="AH12">
        <f t="shared" si="20"/>
        <v>47.296934361541872</v>
      </c>
      <c r="AI12">
        <f t="shared" si="21"/>
        <v>58.463663928973865</v>
      </c>
      <c r="AJ12">
        <f t="shared" si="22"/>
        <v>67.186308128963304</v>
      </c>
      <c r="AK12">
        <f t="shared" si="23"/>
        <v>69.584481028459209</v>
      </c>
      <c r="AL12">
        <f t="shared" si="24"/>
        <v>51.478150704935004</v>
      </c>
      <c r="AM12">
        <f t="shared" si="25"/>
        <v>57.428216061444921</v>
      </c>
      <c r="AN12">
        <f t="shared" si="26"/>
        <v>42.953463189829058</v>
      </c>
      <c r="AO12">
        <f t="shared" si="11"/>
        <v>41.182520563948003</v>
      </c>
      <c r="AP12">
        <f t="shared" si="27"/>
        <v>116.03878661895772</v>
      </c>
      <c r="AQ12">
        <f t="shared" si="28"/>
        <v>111.64676439557037</v>
      </c>
      <c r="AR12">
        <f t="shared" si="29"/>
        <v>101.40019723846694</v>
      </c>
      <c r="AS12">
        <f t="shared" si="30"/>
        <v>105.11898020814318</v>
      </c>
      <c r="AT12">
        <f t="shared" si="31"/>
        <v>95.900990610107883</v>
      </c>
      <c r="AU12">
        <f t="shared" si="32"/>
        <v>111.30588483993108</v>
      </c>
      <c r="AV12">
        <f t="shared" si="33"/>
        <v>126.3210196285638</v>
      </c>
      <c r="AW12">
        <f t="shared" si="34"/>
        <v>122.3315167894194</v>
      </c>
      <c r="AX12">
        <f t="shared" si="12"/>
        <v>127.44412024773099</v>
      </c>
    </row>
    <row r="13" spans="1:50">
      <c r="A13" s="42"/>
      <c r="B13" s="45">
        <v>10</v>
      </c>
      <c r="C13">
        <f>Rand!R16</f>
        <v>582742</v>
      </c>
      <c r="D13">
        <f>Rand!S12</f>
        <v>600922</v>
      </c>
      <c r="P13" s="45">
        <v>10</v>
      </c>
      <c r="Q13">
        <f t="shared" si="0"/>
        <v>99.347298131912495</v>
      </c>
      <c r="R13">
        <f t="shared" si="1"/>
        <v>64.474801279259481</v>
      </c>
      <c r="S13">
        <f t="shared" si="2"/>
        <v>65.12296062065974</v>
      </c>
      <c r="T13">
        <f t="shared" si="3"/>
        <v>89.202017914394744</v>
      </c>
      <c r="U13">
        <f t="shared" si="4"/>
        <v>96.13012014972206</v>
      </c>
      <c r="V13">
        <f t="shared" si="5"/>
        <v>100.90094152187085</v>
      </c>
      <c r="W13">
        <f t="shared" si="6"/>
        <v>61.204574992397426</v>
      </c>
      <c r="X13">
        <f t="shared" si="7"/>
        <v>61.587336360651285</v>
      </c>
      <c r="Y13">
        <f t="shared" si="8"/>
        <v>55.081757415681643</v>
      </c>
      <c r="Z13">
        <f t="shared" si="9"/>
        <v>23.021728866442675</v>
      </c>
      <c r="AA13">
        <f t="shared" si="13"/>
        <v>0</v>
      </c>
      <c r="AB13">
        <f t="shared" si="14"/>
        <v>51.039200620699383</v>
      </c>
      <c r="AC13">
        <f t="shared" si="15"/>
        <v>43.600458713183279</v>
      </c>
      <c r="AD13">
        <f t="shared" si="16"/>
        <v>34.409301068170507</v>
      </c>
      <c r="AE13">
        <f t="shared" si="17"/>
        <v>33.541019662496844</v>
      </c>
      <c r="AF13">
        <f t="shared" si="18"/>
        <v>24.596747752497688</v>
      </c>
      <c r="AG13">
        <f t="shared" si="19"/>
        <v>13.928388277184119</v>
      </c>
      <c r="AH13">
        <f t="shared" si="20"/>
        <v>25.079872407968907</v>
      </c>
      <c r="AI13">
        <f t="shared" si="21"/>
        <v>36.76955262170047</v>
      </c>
      <c r="AJ13">
        <f t="shared" si="22"/>
        <v>44.181444068749045</v>
      </c>
      <c r="AK13">
        <f t="shared" si="23"/>
        <v>47.074409183759279</v>
      </c>
      <c r="AL13">
        <f t="shared" si="24"/>
        <v>32.557641192199412</v>
      </c>
      <c r="AM13">
        <f t="shared" si="25"/>
        <v>34.525353003264136</v>
      </c>
      <c r="AN13">
        <f t="shared" si="26"/>
        <v>24.839484696748443</v>
      </c>
      <c r="AO13">
        <f t="shared" si="11"/>
        <v>24.698178070456937</v>
      </c>
      <c r="AP13">
        <f t="shared" si="27"/>
        <v>93.021502890460766</v>
      </c>
      <c r="AQ13">
        <f t="shared" si="28"/>
        <v>88.68483523128404</v>
      </c>
      <c r="AR13">
        <f t="shared" si="29"/>
        <v>78.638413005350003</v>
      </c>
      <c r="AS13">
        <f t="shared" si="30"/>
        <v>82.09750300709517</v>
      </c>
      <c r="AT13">
        <f t="shared" si="31"/>
        <v>73.763134423640111</v>
      </c>
      <c r="AU13">
        <f t="shared" si="32"/>
        <v>88.842557369765089</v>
      </c>
      <c r="AV13">
        <f t="shared" si="33"/>
        <v>103.31021246711285</v>
      </c>
      <c r="AW13">
        <f t="shared" si="34"/>
        <v>99.824846606443629</v>
      </c>
      <c r="AX13">
        <f t="shared" si="12"/>
        <v>104.57439899764853</v>
      </c>
    </row>
    <row r="14" spans="1:50">
      <c r="A14" s="42"/>
      <c r="B14" s="45">
        <v>11</v>
      </c>
      <c r="C14">
        <f>Rand!R12</f>
        <v>582700</v>
      </c>
      <c r="D14">
        <f>Rand!S13</f>
        <v>600951</v>
      </c>
      <c r="P14" s="45">
        <v>11</v>
      </c>
      <c r="Q14">
        <f t="shared" si="0"/>
        <v>67.59387772657584</v>
      </c>
      <c r="R14">
        <f t="shared" si="1"/>
        <v>17.262676501632068</v>
      </c>
      <c r="S14">
        <f t="shared" si="2"/>
        <v>33.97057550292606</v>
      </c>
      <c r="T14">
        <f t="shared" si="3"/>
        <v>52.32590180780452</v>
      </c>
      <c r="U14">
        <f t="shared" si="4"/>
        <v>59.093146810776631</v>
      </c>
      <c r="V14">
        <f t="shared" si="5"/>
        <v>53.235326616824658</v>
      </c>
      <c r="W14">
        <f t="shared" si="6"/>
        <v>38.948684188300895</v>
      </c>
      <c r="X14">
        <f t="shared" si="7"/>
        <v>10.770329614269007</v>
      </c>
      <c r="Y14">
        <f t="shared" si="8"/>
        <v>29.068883707497267</v>
      </c>
      <c r="Z14">
        <f t="shared" si="9"/>
        <v>33.837848631377263</v>
      </c>
      <c r="AA14">
        <f t="shared" si="13"/>
        <v>51.039200620699383</v>
      </c>
      <c r="AB14">
        <f t="shared" si="14"/>
        <v>0</v>
      </c>
      <c r="AC14">
        <f t="shared" si="15"/>
        <v>7.6157731058639087</v>
      </c>
      <c r="AD14">
        <f t="shared" si="16"/>
        <v>22.022715545545239</v>
      </c>
      <c r="AE14">
        <f t="shared" si="17"/>
        <v>27.018512172212592</v>
      </c>
      <c r="AF14">
        <f t="shared" si="18"/>
        <v>31.780497164141408</v>
      </c>
      <c r="AG14">
        <f t="shared" si="19"/>
        <v>44.687805943008662</v>
      </c>
      <c r="AH14">
        <f t="shared" si="20"/>
        <v>75.802374632988901</v>
      </c>
      <c r="AI14">
        <f t="shared" si="21"/>
        <v>77.466121627457255</v>
      </c>
      <c r="AJ14">
        <f t="shared" si="22"/>
        <v>92.114059730314779</v>
      </c>
      <c r="AK14">
        <f t="shared" si="23"/>
        <v>90.027773492406226</v>
      </c>
      <c r="AL14">
        <f t="shared" si="24"/>
        <v>66.370174024180471</v>
      </c>
      <c r="AM14">
        <f t="shared" si="25"/>
        <v>83.671978583035795</v>
      </c>
      <c r="AN14">
        <f t="shared" si="26"/>
        <v>58.855755878248644</v>
      </c>
      <c r="AO14">
        <f t="shared" si="11"/>
        <v>55.578772926361012</v>
      </c>
      <c r="AP14">
        <f t="shared" si="27"/>
        <v>138.51353724455961</v>
      </c>
      <c r="AQ14">
        <f t="shared" si="28"/>
        <v>136.01470508735443</v>
      </c>
      <c r="AR14">
        <f t="shared" si="29"/>
        <v>121.49485585818027</v>
      </c>
      <c r="AS14">
        <f t="shared" si="30"/>
        <v>128.31601614763451</v>
      </c>
      <c r="AT14">
        <f t="shared" si="31"/>
        <v>113.35784048754634</v>
      </c>
      <c r="AU14">
        <f t="shared" si="32"/>
        <v>129.46814279968643</v>
      </c>
      <c r="AV14">
        <f t="shared" si="33"/>
        <v>149.64624953536256</v>
      </c>
      <c r="AW14">
        <f t="shared" si="34"/>
        <v>140.356688476182</v>
      </c>
      <c r="AX14">
        <f t="shared" si="12"/>
        <v>152.40249953893752</v>
      </c>
    </row>
    <row r="15" spans="1:50">
      <c r="A15" s="42"/>
      <c r="B15" s="45">
        <v>12</v>
      </c>
      <c r="C15">
        <f>Rand!R10</f>
        <v>582707</v>
      </c>
      <c r="D15">
        <f>Rand!S16</f>
        <v>600948</v>
      </c>
      <c r="P15" s="45">
        <v>12</v>
      </c>
      <c r="Q15">
        <f t="shared" si="0"/>
        <v>72.173212524554984</v>
      </c>
      <c r="R15">
        <f t="shared" si="1"/>
        <v>24</v>
      </c>
      <c r="S15">
        <f t="shared" si="2"/>
        <v>37.20215047547655</v>
      </c>
      <c r="T15">
        <f t="shared" si="3"/>
        <v>57.584720195551874</v>
      </c>
      <c r="U15">
        <f t="shared" si="4"/>
        <v>64.513564465157245</v>
      </c>
      <c r="V15">
        <f t="shared" si="5"/>
        <v>60.530983801686226</v>
      </c>
      <c r="W15">
        <f t="shared" si="6"/>
        <v>40.459856648287818</v>
      </c>
      <c r="X15">
        <f t="shared" si="7"/>
        <v>18.384776310850235</v>
      </c>
      <c r="Y15">
        <f t="shared" si="8"/>
        <v>30.479501308256342</v>
      </c>
      <c r="Z15">
        <f t="shared" si="9"/>
        <v>27.730849247724095</v>
      </c>
      <c r="AA15">
        <f t="shared" si="13"/>
        <v>43.600458713183279</v>
      </c>
      <c r="AB15">
        <f t="shared" si="14"/>
        <v>7.6157731058639087</v>
      </c>
      <c r="AC15">
        <f t="shared" si="15"/>
        <v>0</v>
      </c>
      <c r="AD15">
        <f t="shared" si="16"/>
        <v>15.132745950421556</v>
      </c>
      <c r="AE15">
        <f t="shared" si="17"/>
        <v>20.396078054371138</v>
      </c>
      <c r="AF15">
        <f t="shared" si="18"/>
        <v>24.331050121192877</v>
      </c>
      <c r="AG15">
        <f t="shared" si="19"/>
        <v>38.013155617496423</v>
      </c>
      <c r="AH15">
        <f t="shared" si="20"/>
        <v>68.264192663504048</v>
      </c>
      <c r="AI15">
        <f t="shared" si="21"/>
        <v>70.035705179572517</v>
      </c>
      <c r="AJ15">
        <f t="shared" si="22"/>
        <v>84.504437753291981</v>
      </c>
      <c r="AK15">
        <f t="shared" si="23"/>
        <v>82.565125809872058</v>
      </c>
      <c r="AL15">
        <f t="shared" si="24"/>
        <v>59.135437767890075</v>
      </c>
      <c r="AM15">
        <f t="shared" si="25"/>
        <v>76.05918747922567</v>
      </c>
      <c r="AN15">
        <f t="shared" si="26"/>
        <v>51.478150704935004</v>
      </c>
      <c r="AO15">
        <f t="shared" si="11"/>
        <v>48.259714048054619</v>
      </c>
      <c r="AP15">
        <f t="shared" si="27"/>
        <v>131.02671483327359</v>
      </c>
      <c r="AQ15">
        <f t="shared" si="28"/>
        <v>128.4445405612866</v>
      </c>
      <c r="AR15">
        <f t="shared" si="29"/>
        <v>114.12712210513327</v>
      </c>
      <c r="AS15">
        <f t="shared" si="30"/>
        <v>120.78493283518438</v>
      </c>
      <c r="AT15">
        <f t="shared" si="31"/>
        <v>106.16967551989597</v>
      </c>
      <c r="AU15">
        <f t="shared" si="32"/>
        <v>122.2620137246234</v>
      </c>
      <c r="AV15">
        <f t="shared" si="33"/>
        <v>142.12670403551894</v>
      </c>
      <c r="AW15">
        <f t="shared" si="34"/>
        <v>133.18408313308313</v>
      </c>
      <c r="AX15">
        <f t="shared" si="12"/>
        <v>144.82151444352581</v>
      </c>
    </row>
    <row r="16" spans="1:50">
      <c r="A16" s="42"/>
      <c r="B16" s="45">
        <v>13</v>
      </c>
      <c r="C16">
        <f>Rand!R14</f>
        <v>582722</v>
      </c>
      <c r="D16">
        <f>Rand!S15</f>
        <v>600950</v>
      </c>
      <c r="P16" s="45">
        <v>13</v>
      </c>
      <c r="Q16">
        <f t="shared" si="0"/>
        <v>86.564108764042814</v>
      </c>
      <c r="R16">
        <f t="shared" si="1"/>
        <v>39.05124837953327</v>
      </c>
      <c r="S16">
        <f t="shared" si="2"/>
        <v>51</v>
      </c>
      <c r="T16">
        <f t="shared" si="3"/>
        <v>72.422372233999624</v>
      </c>
      <c r="U16">
        <f t="shared" si="4"/>
        <v>79.404030124421269</v>
      </c>
      <c r="V16">
        <f t="shared" si="5"/>
        <v>75.23961722390672</v>
      </c>
      <c r="W16">
        <f t="shared" si="6"/>
        <v>52.630789467763066</v>
      </c>
      <c r="X16">
        <f t="shared" si="7"/>
        <v>32.388269481403292</v>
      </c>
      <c r="Y16">
        <f t="shared" si="8"/>
        <v>43.011626335213137</v>
      </c>
      <c r="Z16">
        <f t="shared" si="9"/>
        <v>27.166155414412248</v>
      </c>
      <c r="AA16">
        <f t="shared" si="13"/>
        <v>34.409301068170507</v>
      </c>
      <c r="AB16">
        <f t="shared" si="14"/>
        <v>22.022715545545239</v>
      </c>
      <c r="AC16">
        <f t="shared" si="15"/>
        <v>15.132745950421556</v>
      </c>
      <c r="AD16">
        <f t="shared" si="16"/>
        <v>0</v>
      </c>
      <c r="AE16">
        <f t="shared" si="17"/>
        <v>5.3851648071345037</v>
      </c>
      <c r="AF16">
        <f t="shared" si="18"/>
        <v>10.816653826391969</v>
      </c>
      <c r="AG16">
        <f t="shared" si="19"/>
        <v>33.734255586865999</v>
      </c>
      <c r="AH16">
        <f t="shared" si="20"/>
        <v>57.384666941614292</v>
      </c>
      <c r="AI16">
        <f t="shared" si="21"/>
        <v>55.785302723925412</v>
      </c>
      <c r="AJ16">
        <f t="shared" si="22"/>
        <v>71.554175279993274</v>
      </c>
      <c r="AK16">
        <f t="shared" si="23"/>
        <v>68.410525505948286</v>
      </c>
      <c r="AL16">
        <f t="shared" si="24"/>
        <v>44.407206622349037</v>
      </c>
      <c r="AM16">
        <f t="shared" si="25"/>
        <v>63.812224534175265</v>
      </c>
      <c r="AN16">
        <f t="shared" si="26"/>
        <v>37.107950630558946</v>
      </c>
      <c r="AO16">
        <f t="shared" si="11"/>
        <v>33.734255586865999</v>
      </c>
      <c r="AP16">
        <f t="shared" si="27"/>
        <v>116.91449867317569</v>
      </c>
      <c r="AQ16">
        <f t="shared" si="28"/>
        <v>114.82595525402782</v>
      </c>
      <c r="AR16">
        <f t="shared" si="29"/>
        <v>99.639349656649202</v>
      </c>
      <c r="AS16">
        <f t="shared" si="30"/>
        <v>106.90182411914213</v>
      </c>
      <c r="AT16">
        <f t="shared" si="31"/>
        <v>91.35097153287424</v>
      </c>
      <c r="AU16">
        <f t="shared" si="32"/>
        <v>107.46627377926528</v>
      </c>
      <c r="AV16">
        <f t="shared" si="33"/>
        <v>128.16005617976296</v>
      </c>
      <c r="AW16">
        <f t="shared" si="34"/>
        <v>118.34272263219231</v>
      </c>
      <c r="AX16">
        <f t="shared" si="12"/>
        <v>131.28382035009903</v>
      </c>
    </row>
    <row r="17" spans="1:50">
      <c r="A17" s="42"/>
      <c r="B17" s="45">
        <v>14</v>
      </c>
      <c r="C17">
        <f>Rand!R17</f>
        <v>582727</v>
      </c>
      <c r="D17">
        <f>Rand!S14</f>
        <v>600952</v>
      </c>
      <c r="P17" s="45">
        <v>14</v>
      </c>
      <c r="Q17">
        <f t="shared" si="0"/>
        <v>91.945575456965372</v>
      </c>
      <c r="R17">
        <f t="shared" si="1"/>
        <v>44.181444068749045</v>
      </c>
      <c r="S17">
        <f t="shared" si="2"/>
        <v>56.356011214421486</v>
      </c>
      <c r="T17">
        <f t="shared" si="3"/>
        <v>77.794601355106892</v>
      </c>
      <c r="U17">
        <f t="shared" si="4"/>
        <v>84.77027781009096</v>
      </c>
      <c r="V17">
        <f t="shared" si="5"/>
        <v>80.09993757800315</v>
      </c>
      <c r="W17">
        <f t="shared" si="6"/>
        <v>57.801384066473702</v>
      </c>
      <c r="X17">
        <f t="shared" si="7"/>
        <v>37.12142238654117</v>
      </c>
      <c r="Y17">
        <f t="shared" si="8"/>
        <v>48.259714048054619</v>
      </c>
      <c r="Z17">
        <f t="shared" si="9"/>
        <v>30.083217912982647</v>
      </c>
      <c r="AA17">
        <f t="shared" si="13"/>
        <v>33.541019662496844</v>
      </c>
      <c r="AB17">
        <f t="shared" si="14"/>
        <v>27.018512172212592</v>
      </c>
      <c r="AC17">
        <f t="shared" si="15"/>
        <v>20.396078054371138</v>
      </c>
      <c r="AD17">
        <f t="shared" si="16"/>
        <v>5.3851648071345037</v>
      </c>
      <c r="AE17">
        <f t="shared" si="17"/>
        <v>0</v>
      </c>
      <c r="AF17">
        <f t="shared" si="18"/>
        <v>8.9442719099991592</v>
      </c>
      <c r="AG17">
        <f t="shared" si="19"/>
        <v>35.057096285916209</v>
      </c>
      <c r="AH17">
        <f t="shared" si="20"/>
        <v>55.172456896534889</v>
      </c>
      <c r="AI17">
        <f t="shared" si="21"/>
        <v>51.546095875439491</v>
      </c>
      <c r="AJ17">
        <f t="shared" si="22"/>
        <v>68.095521144932874</v>
      </c>
      <c r="AK17">
        <f t="shared" si="23"/>
        <v>64.195015382816138</v>
      </c>
      <c r="AL17">
        <f t="shared" si="24"/>
        <v>39.812058474788763</v>
      </c>
      <c r="AM17">
        <f t="shared" si="25"/>
        <v>60.802960454241045</v>
      </c>
      <c r="AN17">
        <f t="shared" si="26"/>
        <v>32.893768406797051</v>
      </c>
      <c r="AO17">
        <f t="shared" si="11"/>
        <v>29.410882339705484</v>
      </c>
      <c r="AP17">
        <f t="shared" si="27"/>
        <v>112.64102272262978</v>
      </c>
      <c r="AQ17">
        <f t="shared" si="28"/>
        <v>110.86027241532469</v>
      </c>
      <c r="AR17">
        <f t="shared" si="29"/>
        <v>95.12623192369179</v>
      </c>
      <c r="AS17">
        <f t="shared" si="30"/>
        <v>102.7861858422619</v>
      </c>
      <c r="AT17">
        <f t="shared" si="31"/>
        <v>86.579443287653447</v>
      </c>
      <c r="AU17">
        <f t="shared" si="32"/>
        <v>102.70345661174214</v>
      </c>
      <c r="AV17">
        <f t="shared" si="33"/>
        <v>123.96773773849388</v>
      </c>
      <c r="AW17">
        <f t="shared" si="34"/>
        <v>113.53413583587978</v>
      </c>
      <c r="AX17">
        <f t="shared" si="12"/>
        <v>127.34518728918363</v>
      </c>
    </row>
    <row r="18" spans="1:50">
      <c r="A18" s="42"/>
      <c r="B18" s="45">
        <v>15</v>
      </c>
      <c r="C18">
        <f>Rand!R11</f>
        <v>582731</v>
      </c>
      <c r="D18">
        <f>Rand!S10</f>
        <v>600944</v>
      </c>
      <c r="P18" s="45">
        <v>15</v>
      </c>
      <c r="Q18">
        <f t="shared" si="0"/>
        <v>92.798498512164173</v>
      </c>
      <c r="R18">
        <f t="shared" si="1"/>
        <v>48.166378315169183</v>
      </c>
      <c r="S18">
        <f t="shared" si="2"/>
        <v>56.920997883030829</v>
      </c>
      <c r="T18">
        <f t="shared" si="3"/>
        <v>79.624116949577527</v>
      </c>
      <c r="U18">
        <f t="shared" si="4"/>
        <v>86.683331731077345</v>
      </c>
      <c r="V18">
        <f t="shared" si="5"/>
        <v>84.852813742385706</v>
      </c>
      <c r="W18">
        <f t="shared" si="6"/>
        <v>56.824290580701486</v>
      </c>
      <c r="X18">
        <f t="shared" si="7"/>
        <v>42.449970553582247</v>
      </c>
      <c r="Y18">
        <f t="shared" si="8"/>
        <v>47.927027865287037</v>
      </c>
      <c r="Z18">
        <f t="shared" si="9"/>
        <v>24.186773244895647</v>
      </c>
      <c r="AA18">
        <f t="shared" si="13"/>
        <v>24.596747752497688</v>
      </c>
      <c r="AB18">
        <f t="shared" si="14"/>
        <v>31.780497164141408</v>
      </c>
      <c r="AC18">
        <f t="shared" si="15"/>
        <v>24.331050121192877</v>
      </c>
      <c r="AD18">
        <f t="shared" si="16"/>
        <v>10.816653826391969</v>
      </c>
      <c r="AE18">
        <f t="shared" si="17"/>
        <v>8.9442719099991592</v>
      </c>
      <c r="AF18">
        <f t="shared" si="18"/>
        <v>0</v>
      </c>
      <c r="AG18">
        <f t="shared" si="19"/>
        <v>27.073972741361768</v>
      </c>
      <c r="AH18">
        <f t="shared" si="20"/>
        <v>46.690470119715009</v>
      </c>
      <c r="AI18">
        <f t="shared" si="21"/>
        <v>45.705579528105758</v>
      </c>
      <c r="AJ18">
        <f t="shared" si="22"/>
        <v>60.835844697020519</v>
      </c>
      <c r="AK18">
        <f t="shared" si="23"/>
        <v>58.249463516842795</v>
      </c>
      <c r="AL18">
        <f t="shared" si="24"/>
        <v>35</v>
      </c>
      <c r="AM18">
        <f t="shared" si="25"/>
        <v>53</v>
      </c>
      <c r="AN18">
        <f t="shared" si="26"/>
        <v>27.166155414412248</v>
      </c>
      <c r="AO18">
        <f t="shared" si="11"/>
        <v>24.020824298928627</v>
      </c>
      <c r="AP18">
        <f t="shared" si="27"/>
        <v>106.73331251301067</v>
      </c>
      <c r="AQ18">
        <f t="shared" si="28"/>
        <v>104.35516278555652</v>
      </c>
      <c r="AR18">
        <f t="shared" si="29"/>
        <v>89.805345052507874</v>
      </c>
      <c r="AS18">
        <f t="shared" si="30"/>
        <v>96.566039579139826</v>
      </c>
      <c r="AT18">
        <f t="shared" si="31"/>
        <v>82.024386617639507</v>
      </c>
      <c r="AU18">
        <f t="shared" si="32"/>
        <v>98.081598681913832</v>
      </c>
      <c r="AV18">
        <f t="shared" si="33"/>
        <v>117.881296226331</v>
      </c>
      <c r="AW18">
        <f t="shared" si="34"/>
        <v>109.04127658827184</v>
      </c>
      <c r="AX18">
        <f t="shared" si="12"/>
        <v>120.78299650910233</v>
      </c>
    </row>
    <row r="19" spans="1:50">
      <c r="A19" s="42"/>
      <c r="B19" s="45">
        <v>16</v>
      </c>
      <c r="C19">
        <f>Rand!R13</f>
        <v>582729</v>
      </c>
      <c r="D19">
        <f>Rand!S11</f>
        <v>600917</v>
      </c>
      <c r="P19" s="45">
        <v>16</v>
      </c>
      <c r="Q19">
        <f t="shared" si="0"/>
        <v>86.114397321890706</v>
      </c>
      <c r="R19">
        <f t="shared" si="1"/>
        <v>55.470712993434653</v>
      </c>
      <c r="S19">
        <f t="shared" si="2"/>
        <v>52.773099207835045</v>
      </c>
      <c r="T19">
        <f t="shared" si="3"/>
        <v>76.791926658991954</v>
      </c>
      <c r="U19">
        <f t="shared" si="4"/>
        <v>83.600239234107462</v>
      </c>
      <c r="V19">
        <f t="shared" si="5"/>
        <v>90.801982357215081</v>
      </c>
      <c r="W19">
        <f t="shared" si="6"/>
        <v>48</v>
      </c>
      <c r="X19">
        <f t="shared" si="7"/>
        <v>54.451813560247928</v>
      </c>
      <c r="Y19">
        <f t="shared" si="8"/>
        <v>42.755116652863897</v>
      </c>
      <c r="Z19">
        <f t="shared" si="9"/>
        <v>11.661903789690601</v>
      </c>
      <c r="AA19">
        <f t="shared" si="13"/>
        <v>13.928388277184119</v>
      </c>
      <c r="AB19">
        <f t="shared" si="14"/>
        <v>44.687805943008662</v>
      </c>
      <c r="AC19">
        <f t="shared" si="15"/>
        <v>38.013155617496423</v>
      </c>
      <c r="AD19">
        <f t="shared" si="16"/>
        <v>33.734255586865999</v>
      </c>
      <c r="AE19">
        <f t="shared" si="17"/>
        <v>35.057096285916209</v>
      </c>
      <c r="AF19">
        <f t="shared" si="18"/>
        <v>27.073972741361768</v>
      </c>
      <c r="AG19">
        <f t="shared" si="19"/>
        <v>0</v>
      </c>
      <c r="AH19">
        <f t="shared" si="20"/>
        <v>36.345563690772494</v>
      </c>
      <c r="AI19">
        <f t="shared" si="21"/>
        <v>50.695167422546305</v>
      </c>
      <c r="AJ19">
        <f t="shared" si="22"/>
        <v>57.008771254956898</v>
      </c>
      <c r="AK19">
        <f t="shared" si="23"/>
        <v>60.876925020897694</v>
      </c>
      <c r="AL19">
        <f t="shared" si="24"/>
        <v>45.803929962395145</v>
      </c>
      <c r="AM19">
        <f t="shared" si="25"/>
        <v>47.010637094172637</v>
      </c>
      <c r="AN19">
        <f t="shared" si="26"/>
        <v>37.643060449437421</v>
      </c>
      <c r="AO19">
        <f t="shared" si="11"/>
        <v>36.76955262170047</v>
      </c>
      <c r="AP19">
        <f t="shared" si="27"/>
        <v>106.04244433244644</v>
      </c>
      <c r="AQ19">
        <f t="shared" si="28"/>
        <v>101.17806086301516</v>
      </c>
      <c r="AR19">
        <f t="shared" si="29"/>
        <v>92.22797840135064</v>
      </c>
      <c r="AS19">
        <f t="shared" si="30"/>
        <v>95.005263012108969</v>
      </c>
      <c r="AT19">
        <f t="shared" si="31"/>
        <v>87.641314458421945</v>
      </c>
      <c r="AU19">
        <f t="shared" si="32"/>
        <v>102.61091559868278</v>
      </c>
      <c r="AV19">
        <f t="shared" si="33"/>
        <v>116.03878661895772</v>
      </c>
      <c r="AW19">
        <f t="shared" si="34"/>
        <v>113.5649593844862</v>
      </c>
      <c r="AX19">
        <f t="shared" si="12"/>
        <v>116.75605365769655</v>
      </c>
    </row>
    <row r="20" spans="1:50">
      <c r="A20" s="42"/>
      <c r="B20" s="45">
        <v>17</v>
      </c>
      <c r="C20">
        <f>Rand!R24</f>
        <v>582765</v>
      </c>
      <c r="D20">
        <f>Rand!S23</f>
        <v>600912</v>
      </c>
      <c r="P20" s="45">
        <v>17</v>
      </c>
      <c r="Q20">
        <f t="shared" si="0"/>
        <v>122.11864053496824</v>
      </c>
      <c r="R20">
        <f t="shared" si="1"/>
        <v>89.554452708952439</v>
      </c>
      <c r="S20">
        <f t="shared" si="2"/>
        <v>89.10667763978185</v>
      </c>
      <c r="T20">
        <f t="shared" si="3"/>
        <v>113.13708498984761</v>
      </c>
      <c r="U20">
        <f t="shared" si="4"/>
        <v>119.94165248152953</v>
      </c>
      <c r="V20">
        <f t="shared" si="5"/>
        <v>125.93649193144932</v>
      </c>
      <c r="W20">
        <f t="shared" si="6"/>
        <v>84.148677945645701</v>
      </c>
      <c r="X20">
        <f t="shared" si="7"/>
        <v>86.452298986203942</v>
      </c>
      <c r="Y20">
        <f t="shared" si="8"/>
        <v>79.075912893876861</v>
      </c>
      <c r="Z20">
        <f t="shared" si="9"/>
        <v>47.296934361541872</v>
      </c>
      <c r="AA20">
        <f t="shared" si="13"/>
        <v>25.079872407968907</v>
      </c>
      <c r="AB20">
        <f t="shared" si="14"/>
        <v>75.802374632988901</v>
      </c>
      <c r="AC20">
        <f t="shared" si="15"/>
        <v>68.264192663504048</v>
      </c>
      <c r="AD20">
        <f t="shared" si="16"/>
        <v>57.384666941614292</v>
      </c>
      <c r="AE20">
        <f t="shared" si="17"/>
        <v>55.172456896534889</v>
      </c>
      <c r="AF20">
        <f t="shared" si="18"/>
        <v>46.690470119715009</v>
      </c>
      <c r="AG20">
        <f t="shared" si="19"/>
        <v>36.345563690772494</v>
      </c>
      <c r="AH20">
        <f t="shared" si="20"/>
        <v>0</v>
      </c>
      <c r="AI20">
        <f t="shared" si="21"/>
        <v>26.40075756488817</v>
      </c>
      <c r="AJ20">
        <f t="shared" si="22"/>
        <v>21.840329667841555</v>
      </c>
      <c r="AK20">
        <f t="shared" si="23"/>
        <v>30.479501308256342</v>
      </c>
      <c r="AL20">
        <f t="shared" si="24"/>
        <v>32.015621187164243</v>
      </c>
      <c r="AM20">
        <f t="shared" si="25"/>
        <v>11.704699910719626</v>
      </c>
      <c r="AN20">
        <f t="shared" si="26"/>
        <v>29.832867780352597</v>
      </c>
      <c r="AO20">
        <f t="shared" si="11"/>
        <v>32.572994949804659</v>
      </c>
      <c r="AP20">
        <f t="shared" si="27"/>
        <v>70.455659815234142</v>
      </c>
      <c r="AQ20">
        <f t="shared" si="28"/>
        <v>65.007691852580024</v>
      </c>
      <c r="AR20">
        <f t="shared" si="29"/>
        <v>58.523499553598128</v>
      </c>
      <c r="AS20">
        <f t="shared" si="30"/>
        <v>59.304300012730948</v>
      </c>
      <c r="AT20">
        <f t="shared" si="31"/>
        <v>56.603886792339623</v>
      </c>
      <c r="AU20">
        <f t="shared" si="32"/>
        <v>69.856996786291916</v>
      </c>
      <c r="AV20">
        <f t="shared" si="33"/>
        <v>80.02499609497022</v>
      </c>
      <c r="AW20">
        <f t="shared" si="34"/>
        <v>80.411441971898498</v>
      </c>
      <c r="AX20">
        <f t="shared" si="12"/>
        <v>80.432217958483946</v>
      </c>
    </row>
    <row r="21" spans="1:50">
      <c r="A21" s="42"/>
      <c r="B21" s="45">
        <v>18</v>
      </c>
      <c r="C21">
        <f>Rand!R22</f>
        <v>582776</v>
      </c>
      <c r="D21">
        <f>Rand!S18</f>
        <v>600936</v>
      </c>
      <c r="P21" s="45">
        <v>18</v>
      </c>
      <c r="Q21">
        <f t="shared" si="0"/>
        <v>134.7635716583215</v>
      </c>
      <c r="R21">
        <f t="shared" si="1"/>
        <v>93.770997648526702</v>
      </c>
      <c r="S21">
        <f t="shared" si="2"/>
        <v>99.503768772845987</v>
      </c>
      <c r="T21">
        <f t="shared" si="3"/>
        <v>123.25988804148737</v>
      </c>
      <c r="U21">
        <f t="shared" si="4"/>
        <v>130.31116606031887</v>
      </c>
      <c r="V21">
        <f t="shared" si="5"/>
        <v>130.54118124178285</v>
      </c>
      <c r="W21">
        <f t="shared" si="6"/>
        <v>96.881370758262918</v>
      </c>
      <c r="X21">
        <f t="shared" si="7"/>
        <v>88.073832663283142</v>
      </c>
      <c r="Y21">
        <f t="shared" si="8"/>
        <v>89.677198885781436</v>
      </c>
      <c r="Z21">
        <f t="shared" si="9"/>
        <v>58.463663928973865</v>
      </c>
      <c r="AA21">
        <f t="shared" si="13"/>
        <v>36.76955262170047</v>
      </c>
      <c r="AB21">
        <f t="shared" si="14"/>
        <v>77.466121627457255</v>
      </c>
      <c r="AC21">
        <f t="shared" si="15"/>
        <v>70.035705179572517</v>
      </c>
      <c r="AD21">
        <f t="shared" si="16"/>
        <v>55.785302723925412</v>
      </c>
      <c r="AE21">
        <f t="shared" si="17"/>
        <v>51.546095875439491</v>
      </c>
      <c r="AF21">
        <f t="shared" si="18"/>
        <v>45.705579528105758</v>
      </c>
      <c r="AG21">
        <f t="shared" si="19"/>
        <v>50.695167422546305</v>
      </c>
      <c r="AH21">
        <f t="shared" si="20"/>
        <v>26.40075756488817</v>
      </c>
      <c r="AI21">
        <f t="shared" si="21"/>
        <v>0</v>
      </c>
      <c r="AJ21">
        <f t="shared" si="22"/>
        <v>20.591260281974002</v>
      </c>
      <c r="AK21">
        <f t="shared" si="23"/>
        <v>12.649110640673518</v>
      </c>
      <c r="AL21">
        <f t="shared" si="24"/>
        <v>12.806248474865697</v>
      </c>
      <c r="AM21">
        <f t="shared" si="25"/>
        <v>20</v>
      </c>
      <c r="AN21">
        <f t="shared" si="26"/>
        <v>18.681541692269406</v>
      </c>
      <c r="AO21">
        <f t="shared" si="11"/>
        <v>22.135943621178654</v>
      </c>
      <c r="AP21">
        <f t="shared" si="27"/>
        <v>61.1310068623117</v>
      </c>
      <c r="AQ21">
        <f t="shared" si="28"/>
        <v>59.506302187247357</v>
      </c>
      <c r="AR21">
        <f t="shared" si="29"/>
        <v>44.181444068749045</v>
      </c>
      <c r="AS21">
        <f t="shared" si="30"/>
        <v>51.264022471905186</v>
      </c>
      <c r="AT21">
        <f t="shared" si="31"/>
        <v>37.483329627982627</v>
      </c>
      <c r="AU21">
        <f t="shared" si="32"/>
        <v>53.150729063673246</v>
      </c>
      <c r="AV21">
        <f t="shared" si="33"/>
        <v>72.422372233999624</v>
      </c>
      <c r="AW21">
        <f t="shared" si="34"/>
        <v>64.195015382816138</v>
      </c>
      <c r="AX21">
        <f t="shared" si="12"/>
        <v>76.002697884486906</v>
      </c>
    </row>
    <row r="22" spans="1:50">
      <c r="A22" s="42"/>
      <c r="B22" s="45">
        <v>19</v>
      </c>
      <c r="C22">
        <f>Rand!R18</f>
        <v>582786</v>
      </c>
      <c r="D22">
        <f>Rand!S22</f>
        <v>600918</v>
      </c>
      <c r="P22" s="45">
        <v>19</v>
      </c>
      <c r="Q22">
        <f t="shared" si="0"/>
        <v>143.12208483007299</v>
      </c>
      <c r="R22">
        <f t="shared" si="1"/>
        <v>107.28000745712129</v>
      </c>
      <c r="S22">
        <f t="shared" si="2"/>
        <v>109.29318368498559</v>
      </c>
      <c r="T22">
        <f t="shared" si="3"/>
        <v>133.37541002748594</v>
      </c>
      <c r="U22">
        <f t="shared" si="4"/>
        <v>140.28898745090436</v>
      </c>
      <c r="V22">
        <f t="shared" si="5"/>
        <v>144.10065926289164</v>
      </c>
      <c r="W22">
        <f t="shared" si="6"/>
        <v>105.00476179678711</v>
      </c>
      <c r="X22">
        <f t="shared" si="7"/>
        <v>102.88342918079665</v>
      </c>
      <c r="Y22">
        <f t="shared" si="8"/>
        <v>99.247166206396045</v>
      </c>
      <c r="Z22">
        <f t="shared" si="9"/>
        <v>67.186308128963304</v>
      </c>
      <c r="AA22">
        <f t="shared" si="13"/>
        <v>44.181444068749045</v>
      </c>
      <c r="AB22">
        <f t="shared" si="14"/>
        <v>92.114059730314779</v>
      </c>
      <c r="AC22">
        <f t="shared" si="15"/>
        <v>84.504437753291981</v>
      </c>
      <c r="AD22">
        <f t="shared" si="16"/>
        <v>71.554175279993274</v>
      </c>
      <c r="AE22">
        <f t="shared" si="17"/>
        <v>68.095521144932874</v>
      </c>
      <c r="AF22">
        <f t="shared" si="18"/>
        <v>60.835844697020519</v>
      </c>
      <c r="AG22">
        <f t="shared" si="19"/>
        <v>57.008771254956898</v>
      </c>
      <c r="AH22">
        <f t="shared" si="20"/>
        <v>21.840329667841555</v>
      </c>
      <c r="AI22">
        <f t="shared" si="21"/>
        <v>20.591260281974002</v>
      </c>
      <c r="AJ22">
        <f t="shared" si="22"/>
        <v>0</v>
      </c>
      <c r="AK22">
        <f t="shared" si="23"/>
        <v>14.142135623730951</v>
      </c>
      <c r="AL22">
        <f t="shared" si="24"/>
        <v>32.802438933713454</v>
      </c>
      <c r="AM22">
        <f t="shared" si="25"/>
        <v>10.198039027185569</v>
      </c>
      <c r="AN22">
        <f t="shared" si="26"/>
        <v>36.235341863986875</v>
      </c>
      <c r="AO22">
        <f t="shared" si="11"/>
        <v>39.824615503479755</v>
      </c>
      <c r="AP22">
        <f t="shared" si="27"/>
        <v>49.040799340956916</v>
      </c>
      <c r="AQ22">
        <f t="shared" si="28"/>
        <v>44.553338819890925</v>
      </c>
      <c r="AR22">
        <f t="shared" si="29"/>
        <v>36.76955262170047</v>
      </c>
      <c r="AS22">
        <f t="shared" si="30"/>
        <v>38</v>
      </c>
      <c r="AT22">
        <f t="shared" si="31"/>
        <v>36.124783736376884</v>
      </c>
      <c r="AU22">
        <f t="shared" si="32"/>
        <v>48.301138702933287</v>
      </c>
      <c r="AV22">
        <f t="shared" si="33"/>
        <v>59.135437767890075</v>
      </c>
      <c r="AW22">
        <f t="shared" si="34"/>
        <v>58.694122363316758</v>
      </c>
      <c r="AX22">
        <f t="shared" si="12"/>
        <v>60.635769358703833</v>
      </c>
    </row>
    <row r="23" spans="1:50">
      <c r="A23" s="42"/>
      <c r="B23" s="45">
        <v>20</v>
      </c>
      <c r="C23">
        <f>Rand!R25</f>
        <v>582788</v>
      </c>
      <c r="D23">
        <f>Rand!S20</f>
        <v>600932</v>
      </c>
      <c r="P23" s="45">
        <v>20</v>
      </c>
      <c r="Q23">
        <f t="shared" si="0"/>
        <v>146.10179631375632</v>
      </c>
      <c r="R23">
        <f t="shared" si="1"/>
        <v>106.21205204683694</v>
      </c>
      <c r="S23">
        <f t="shared" si="2"/>
        <v>111.16204388189342</v>
      </c>
      <c r="T23">
        <f t="shared" si="3"/>
        <v>135.05924625881784</v>
      </c>
      <c r="U23">
        <f t="shared" si="4"/>
        <v>142.08800090085018</v>
      </c>
      <c r="V23">
        <f t="shared" si="5"/>
        <v>143.02796929272262</v>
      </c>
      <c r="W23">
        <f t="shared" si="6"/>
        <v>108.04628637764465</v>
      </c>
      <c r="X23">
        <f t="shared" si="7"/>
        <v>100.66280345788111</v>
      </c>
      <c r="Y23">
        <f t="shared" si="8"/>
        <v>101.24228365658294</v>
      </c>
      <c r="Z23">
        <f t="shared" si="9"/>
        <v>69.584481028459209</v>
      </c>
      <c r="AA23">
        <f t="shared" si="13"/>
        <v>47.074409183759279</v>
      </c>
      <c r="AB23">
        <f t="shared" si="14"/>
        <v>90.027773492406226</v>
      </c>
      <c r="AC23">
        <f t="shared" si="15"/>
        <v>82.565125809872058</v>
      </c>
      <c r="AD23">
        <f t="shared" si="16"/>
        <v>68.410525505948286</v>
      </c>
      <c r="AE23">
        <f t="shared" si="17"/>
        <v>64.195015382816138</v>
      </c>
      <c r="AF23">
        <f t="shared" si="18"/>
        <v>58.249463516842795</v>
      </c>
      <c r="AG23">
        <f t="shared" si="19"/>
        <v>60.876925020897694</v>
      </c>
      <c r="AH23">
        <f t="shared" si="20"/>
        <v>30.479501308256342</v>
      </c>
      <c r="AI23">
        <f t="shared" si="21"/>
        <v>12.649110640673518</v>
      </c>
      <c r="AJ23">
        <f t="shared" si="22"/>
        <v>14.142135623730951</v>
      </c>
      <c r="AK23">
        <f t="shared" si="23"/>
        <v>0</v>
      </c>
      <c r="AL23">
        <f t="shared" si="24"/>
        <v>25.059928172283335</v>
      </c>
      <c r="AM23">
        <f t="shared" si="25"/>
        <v>20</v>
      </c>
      <c r="AN23">
        <f t="shared" si="26"/>
        <v>31.32091952673165</v>
      </c>
      <c r="AO23">
        <f t="shared" si="11"/>
        <v>34.785054261852174</v>
      </c>
      <c r="AP23">
        <f t="shared" si="27"/>
        <v>48.507731342539614</v>
      </c>
      <c r="AQ23">
        <f t="shared" si="28"/>
        <v>46.957427527495582</v>
      </c>
      <c r="AR23">
        <f t="shared" si="29"/>
        <v>32</v>
      </c>
      <c r="AS23">
        <f t="shared" si="30"/>
        <v>38.626415831655933</v>
      </c>
      <c r="AT23">
        <f t="shared" si="31"/>
        <v>26.92582403567252</v>
      </c>
      <c r="AU23">
        <f t="shared" si="32"/>
        <v>41.773197148410844</v>
      </c>
      <c r="AV23">
        <f t="shared" si="33"/>
        <v>59.774576535513823</v>
      </c>
      <c r="AW23">
        <f t="shared" si="34"/>
        <v>52.773099207835045</v>
      </c>
      <c r="AX23">
        <f t="shared" si="12"/>
        <v>63.443621001022727</v>
      </c>
    </row>
    <row r="24" spans="1:50">
      <c r="A24" s="42"/>
      <c r="B24" s="45">
        <v>21</v>
      </c>
      <c r="C24">
        <f>Rand!R19</f>
        <v>582766</v>
      </c>
      <c r="D24">
        <f>Rand!S24</f>
        <v>600944</v>
      </c>
      <c r="P24" s="45">
        <v>21</v>
      </c>
      <c r="Q24">
        <f t="shared" si="0"/>
        <v>126.50142578686039</v>
      </c>
      <c r="R24">
        <f t="shared" si="1"/>
        <v>83.096329642168911</v>
      </c>
      <c r="S24">
        <f t="shared" si="2"/>
        <v>90.801982357215081</v>
      </c>
      <c r="T24">
        <f t="shared" si="3"/>
        <v>114.12712210513327</v>
      </c>
      <c r="U24">
        <f t="shared" si="4"/>
        <v>121.19818480488888</v>
      </c>
      <c r="V24">
        <f t="shared" si="5"/>
        <v>119.60351165413162</v>
      </c>
      <c r="W24">
        <f t="shared" si="6"/>
        <v>89.185200566013194</v>
      </c>
      <c r="X24">
        <f t="shared" si="7"/>
        <v>76.791926658991954</v>
      </c>
      <c r="Y24">
        <f t="shared" si="8"/>
        <v>81.252692263087511</v>
      </c>
      <c r="Z24">
        <f t="shared" si="9"/>
        <v>51.478150704935004</v>
      </c>
      <c r="AA24">
        <f t="shared" si="13"/>
        <v>32.557641192199412</v>
      </c>
      <c r="AB24">
        <f t="shared" si="14"/>
        <v>66.370174024180471</v>
      </c>
      <c r="AC24">
        <f t="shared" si="15"/>
        <v>59.135437767890075</v>
      </c>
      <c r="AD24">
        <f t="shared" si="16"/>
        <v>44.407206622349037</v>
      </c>
      <c r="AE24">
        <f t="shared" si="17"/>
        <v>39.812058474788763</v>
      </c>
      <c r="AF24">
        <f t="shared" si="18"/>
        <v>35</v>
      </c>
      <c r="AG24">
        <f t="shared" si="19"/>
        <v>45.803929962395145</v>
      </c>
      <c r="AH24">
        <f t="shared" si="20"/>
        <v>32.015621187164243</v>
      </c>
      <c r="AI24">
        <f t="shared" si="21"/>
        <v>12.806248474865697</v>
      </c>
      <c r="AJ24">
        <f t="shared" si="22"/>
        <v>32.802438933713454</v>
      </c>
      <c r="AK24">
        <f t="shared" si="23"/>
        <v>25.059928172283335</v>
      </c>
      <c r="AL24">
        <f t="shared" si="24"/>
        <v>0</v>
      </c>
      <c r="AM24">
        <f t="shared" si="25"/>
        <v>29.732137494637012</v>
      </c>
      <c r="AN24">
        <f t="shared" si="26"/>
        <v>8.5440037453175304</v>
      </c>
      <c r="AO24">
        <f t="shared" si="11"/>
        <v>11.045361017187261</v>
      </c>
      <c r="AP24">
        <f t="shared" si="27"/>
        <v>73.054773971315527</v>
      </c>
      <c r="AQ24">
        <f t="shared" si="28"/>
        <v>72.006944109578768</v>
      </c>
      <c r="AR24">
        <f t="shared" si="29"/>
        <v>55.317266743757322</v>
      </c>
      <c r="AS24">
        <f t="shared" si="30"/>
        <v>63.560994328282817</v>
      </c>
      <c r="AT24">
        <f t="shared" si="31"/>
        <v>47.042533945356304</v>
      </c>
      <c r="AU24">
        <f t="shared" si="32"/>
        <v>63.126856408346519</v>
      </c>
      <c r="AV24">
        <f t="shared" si="33"/>
        <v>84.504437753291981</v>
      </c>
      <c r="AW24">
        <f t="shared" si="34"/>
        <v>74.060785845142092</v>
      </c>
      <c r="AX24">
        <f t="shared" si="12"/>
        <v>88.483814597471437</v>
      </c>
    </row>
    <row r="25" spans="1:50">
      <c r="A25" s="42"/>
      <c r="B25" s="45">
        <v>22</v>
      </c>
      <c r="C25">
        <f>Rand!R21</f>
        <v>582776</v>
      </c>
      <c r="D25">
        <f>Rand!S19</f>
        <v>600916</v>
      </c>
      <c r="P25" s="45">
        <v>22</v>
      </c>
      <c r="Q25">
        <f t="shared" si="0"/>
        <v>133.09178429229823</v>
      </c>
      <c r="R25">
        <f t="shared" si="1"/>
        <v>98.35141076771599</v>
      </c>
      <c r="S25">
        <f t="shared" si="2"/>
        <v>99.503768772845987</v>
      </c>
      <c r="T25">
        <f t="shared" si="3"/>
        <v>123.58397954427588</v>
      </c>
      <c r="U25">
        <f t="shared" si="4"/>
        <v>130.46455457326331</v>
      </c>
      <c r="V25">
        <f t="shared" si="5"/>
        <v>135.05924625881784</v>
      </c>
      <c r="W25">
        <f t="shared" si="6"/>
        <v>95.005263012108969</v>
      </c>
      <c r="X25">
        <f t="shared" si="7"/>
        <v>94.429868156214212</v>
      </c>
      <c r="Y25">
        <f t="shared" si="8"/>
        <v>89.453898741195175</v>
      </c>
      <c r="Z25">
        <f t="shared" si="9"/>
        <v>57.428216061444921</v>
      </c>
      <c r="AA25">
        <f t="shared" si="13"/>
        <v>34.525353003264136</v>
      </c>
      <c r="AB25">
        <f t="shared" si="14"/>
        <v>83.671978583035795</v>
      </c>
      <c r="AC25">
        <f t="shared" si="15"/>
        <v>76.05918747922567</v>
      </c>
      <c r="AD25">
        <f t="shared" si="16"/>
        <v>63.812224534175265</v>
      </c>
      <c r="AE25">
        <f t="shared" si="17"/>
        <v>60.802960454241045</v>
      </c>
      <c r="AF25">
        <f t="shared" si="18"/>
        <v>53</v>
      </c>
      <c r="AG25">
        <f t="shared" si="19"/>
        <v>47.010637094172637</v>
      </c>
      <c r="AH25">
        <f t="shared" si="20"/>
        <v>11.704699910719626</v>
      </c>
      <c r="AI25">
        <f t="shared" si="21"/>
        <v>20</v>
      </c>
      <c r="AJ25">
        <f t="shared" si="22"/>
        <v>10.198039027185569</v>
      </c>
      <c r="AK25">
        <f t="shared" si="23"/>
        <v>20</v>
      </c>
      <c r="AL25">
        <f t="shared" si="24"/>
        <v>29.732137494637012</v>
      </c>
      <c r="AM25">
        <f t="shared" si="25"/>
        <v>0</v>
      </c>
      <c r="AN25">
        <f t="shared" si="26"/>
        <v>30.805843601498726</v>
      </c>
      <c r="AO25">
        <f t="shared" si="11"/>
        <v>34.205262752974143</v>
      </c>
      <c r="AP25">
        <f t="shared" si="27"/>
        <v>59.135437767890075</v>
      </c>
      <c r="AQ25">
        <f t="shared" si="28"/>
        <v>54.230987451824994</v>
      </c>
      <c r="AR25">
        <f t="shared" si="29"/>
        <v>46.818799642878503</v>
      </c>
      <c r="AS25">
        <f t="shared" si="30"/>
        <v>48.041648597857254</v>
      </c>
      <c r="AT25">
        <f t="shared" si="31"/>
        <v>45.221676218380054</v>
      </c>
      <c r="AU25">
        <f t="shared" si="32"/>
        <v>58.180752831155424</v>
      </c>
      <c r="AV25">
        <f t="shared" si="33"/>
        <v>69.028979421689272</v>
      </c>
      <c r="AW25">
        <f t="shared" si="34"/>
        <v>68.709533545207535</v>
      </c>
      <c r="AX25">
        <f t="shared" si="12"/>
        <v>70.049508818559744</v>
      </c>
    </row>
    <row r="26" spans="1:50">
      <c r="A26" s="42"/>
      <c r="B26" s="45">
        <v>23</v>
      </c>
      <c r="C26">
        <f>Rand!R23</f>
        <v>582758</v>
      </c>
      <c r="D26">
        <f>Rand!S21</f>
        <v>600941</v>
      </c>
      <c r="P26" s="45">
        <v>23</v>
      </c>
      <c r="Q26">
        <f t="shared" si="0"/>
        <v>118.02990479581597</v>
      </c>
      <c r="R26">
        <f t="shared" si="1"/>
        <v>75.325958341065927</v>
      </c>
      <c r="S26">
        <f t="shared" si="2"/>
        <v>82.37718130647589</v>
      </c>
      <c r="T26">
        <f t="shared" si="3"/>
        <v>105.80170130957252</v>
      </c>
      <c r="U26">
        <f t="shared" si="4"/>
        <v>112.8716084761797</v>
      </c>
      <c r="V26">
        <f t="shared" si="5"/>
        <v>112.00892821556681</v>
      </c>
      <c r="W26">
        <f t="shared" si="6"/>
        <v>80.65358020571685</v>
      </c>
      <c r="X26">
        <f t="shared" si="7"/>
        <v>69.426219830839131</v>
      </c>
      <c r="Y26">
        <f t="shared" si="8"/>
        <v>72.780491891715045</v>
      </c>
      <c r="Z26">
        <f t="shared" si="9"/>
        <v>42.953463189829058</v>
      </c>
      <c r="AA26">
        <f t="shared" si="13"/>
        <v>24.839484696748443</v>
      </c>
      <c r="AB26">
        <f t="shared" si="14"/>
        <v>58.855755878248644</v>
      </c>
      <c r="AC26">
        <f t="shared" si="15"/>
        <v>51.478150704935004</v>
      </c>
      <c r="AD26">
        <f t="shared" si="16"/>
        <v>37.107950630558946</v>
      </c>
      <c r="AE26">
        <f t="shared" si="17"/>
        <v>32.893768406797051</v>
      </c>
      <c r="AF26">
        <f t="shared" si="18"/>
        <v>27.166155414412248</v>
      </c>
      <c r="AG26">
        <f t="shared" si="19"/>
        <v>37.643060449437421</v>
      </c>
      <c r="AH26">
        <f t="shared" si="20"/>
        <v>29.832867780352597</v>
      </c>
      <c r="AI26">
        <f t="shared" si="21"/>
        <v>18.681541692269406</v>
      </c>
      <c r="AJ26">
        <f t="shared" si="22"/>
        <v>36.235341863986875</v>
      </c>
      <c r="AK26">
        <f t="shared" si="23"/>
        <v>31.32091952673165</v>
      </c>
      <c r="AL26">
        <f t="shared" si="24"/>
        <v>8.5440037453175304</v>
      </c>
      <c r="AM26">
        <f t="shared" si="25"/>
        <v>30.805843601498726</v>
      </c>
      <c r="AN26">
        <f t="shared" si="26"/>
        <v>0</v>
      </c>
      <c r="AO26">
        <f t="shared" si="11"/>
        <v>3.6055512754639891</v>
      </c>
      <c r="AP26">
        <f t="shared" si="27"/>
        <v>79.81227975693966</v>
      </c>
      <c r="AQ26">
        <f t="shared" si="28"/>
        <v>78</v>
      </c>
      <c r="AR26">
        <f t="shared" si="29"/>
        <v>62.649820430708338</v>
      </c>
      <c r="AS26">
        <f t="shared" si="30"/>
        <v>69.892775020026207</v>
      </c>
      <c r="AT26">
        <f t="shared" si="31"/>
        <v>55.009090157900268</v>
      </c>
      <c r="AU26">
        <f t="shared" si="32"/>
        <v>71.007041904306931</v>
      </c>
      <c r="AV26">
        <f t="shared" si="33"/>
        <v>91.093358704133863</v>
      </c>
      <c r="AW26">
        <f t="shared" si="34"/>
        <v>82</v>
      </c>
      <c r="AX26">
        <f t="shared" si="12"/>
        <v>94.492919447540643</v>
      </c>
    </row>
    <row r="27" spans="1:50">
      <c r="A27" s="42"/>
      <c r="B27" s="45">
        <v>24</v>
      </c>
      <c r="C27">
        <f>Rand!R20</f>
        <v>582755</v>
      </c>
      <c r="D27">
        <f>Rand!S25</f>
        <v>600943</v>
      </c>
      <c r="P27" s="45">
        <v>24</v>
      </c>
      <c r="Q27">
        <f t="shared" si="0"/>
        <v>115.57819701877028</v>
      </c>
      <c r="R27">
        <f t="shared" si="1"/>
        <v>72.17340230306452</v>
      </c>
      <c r="S27">
        <f t="shared" si="2"/>
        <v>79.831071645068121</v>
      </c>
      <c r="T27">
        <f t="shared" si="3"/>
        <v>103.0970416646375</v>
      </c>
      <c r="U27">
        <f t="shared" si="4"/>
        <v>110.16805344563369</v>
      </c>
      <c r="V27">
        <f t="shared" si="5"/>
        <v>108.77959367454909</v>
      </c>
      <c r="W27">
        <f t="shared" si="6"/>
        <v>78.434686204510314</v>
      </c>
      <c r="X27">
        <f t="shared" si="7"/>
        <v>66.098411478642959</v>
      </c>
      <c r="Y27">
        <f t="shared" si="8"/>
        <v>70.342021580275897</v>
      </c>
      <c r="Z27">
        <f t="shared" si="9"/>
        <v>41.182520563948003</v>
      </c>
      <c r="AA27">
        <f t="shared" si="13"/>
        <v>24.698178070456937</v>
      </c>
      <c r="AB27">
        <f t="shared" si="14"/>
        <v>55.578772926361012</v>
      </c>
      <c r="AC27">
        <f t="shared" si="15"/>
        <v>48.259714048054619</v>
      </c>
      <c r="AD27">
        <f t="shared" si="16"/>
        <v>33.734255586865999</v>
      </c>
      <c r="AE27">
        <f t="shared" si="17"/>
        <v>29.410882339705484</v>
      </c>
      <c r="AF27">
        <f t="shared" si="18"/>
        <v>24.020824298928627</v>
      </c>
      <c r="AG27">
        <f t="shared" si="19"/>
        <v>36.76955262170047</v>
      </c>
      <c r="AH27">
        <f t="shared" si="20"/>
        <v>32.572994949804659</v>
      </c>
      <c r="AI27">
        <f t="shared" si="21"/>
        <v>22.135943621178654</v>
      </c>
      <c r="AJ27">
        <f t="shared" si="22"/>
        <v>39.824615503479755</v>
      </c>
      <c r="AK27">
        <f t="shared" si="23"/>
        <v>34.785054261852174</v>
      </c>
      <c r="AL27">
        <f t="shared" si="24"/>
        <v>11.045361017187261</v>
      </c>
      <c r="AM27">
        <f t="shared" si="25"/>
        <v>34.205262752974143</v>
      </c>
      <c r="AN27">
        <f t="shared" si="26"/>
        <v>3.6055512754639891</v>
      </c>
      <c r="AO27">
        <f t="shared" si="11"/>
        <v>0</v>
      </c>
      <c r="AP27">
        <f t="shared" si="27"/>
        <v>83.240615086627031</v>
      </c>
      <c r="AQ27">
        <f t="shared" si="28"/>
        <v>81.541400527584756</v>
      </c>
      <c r="AR27">
        <f t="shared" si="29"/>
        <v>65.924198895398035</v>
      </c>
      <c r="AS27">
        <f t="shared" si="30"/>
        <v>73.389372527635089</v>
      </c>
      <c r="AT27">
        <f t="shared" si="31"/>
        <v>58.008620049092706</v>
      </c>
      <c r="AU27">
        <f t="shared" si="32"/>
        <v>74.060785845142092</v>
      </c>
      <c r="AV27">
        <f t="shared" si="33"/>
        <v>94.556861200020805</v>
      </c>
      <c r="AW27">
        <f t="shared" si="34"/>
        <v>85.023526155999903</v>
      </c>
      <c r="AX27">
        <f t="shared" si="12"/>
        <v>98.036803832638057</v>
      </c>
    </row>
    <row r="28" spans="1:50">
      <c r="B28" s="45">
        <v>25</v>
      </c>
      <c r="C28">
        <f>Rand!R31</f>
        <v>582835</v>
      </c>
      <c r="D28">
        <f>Rand!S28</f>
        <v>600920</v>
      </c>
      <c r="P28" s="45">
        <v>25</v>
      </c>
      <c r="Q28">
        <f t="shared" si="0"/>
        <v>192.15665496178261</v>
      </c>
      <c r="R28">
        <f t="shared" si="1"/>
        <v>154.55743269089325</v>
      </c>
      <c r="S28">
        <f t="shared" si="2"/>
        <v>158.11388300841898</v>
      </c>
      <c r="T28">
        <f t="shared" si="3"/>
        <v>182.17573932881405</v>
      </c>
      <c r="U28">
        <f t="shared" si="4"/>
        <v>189.12958520548815</v>
      </c>
      <c r="V28">
        <f t="shared" si="5"/>
        <v>191.41577782408638</v>
      </c>
      <c r="W28">
        <f t="shared" si="6"/>
        <v>154.02921800749363</v>
      </c>
      <c r="X28">
        <f t="shared" si="7"/>
        <v>149.16433890176299</v>
      </c>
      <c r="Y28">
        <f t="shared" si="8"/>
        <v>148.08443537387717</v>
      </c>
      <c r="Z28">
        <f t="shared" si="9"/>
        <v>116.03878661895772</v>
      </c>
      <c r="AA28">
        <f t="shared" si="13"/>
        <v>93.021502890460766</v>
      </c>
      <c r="AB28">
        <f t="shared" si="14"/>
        <v>138.51353724455961</v>
      </c>
      <c r="AC28">
        <f t="shared" si="15"/>
        <v>131.02671483327359</v>
      </c>
      <c r="AD28">
        <f t="shared" si="16"/>
        <v>116.91449867317569</v>
      </c>
      <c r="AE28">
        <f t="shared" si="17"/>
        <v>112.64102272262978</v>
      </c>
      <c r="AF28">
        <f t="shared" si="18"/>
        <v>106.73331251301067</v>
      </c>
      <c r="AG28">
        <f t="shared" si="19"/>
        <v>106.04244433244644</v>
      </c>
      <c r="AH28">
        <f t="shared" si="20"/>
        <v>70.455659815234142</v>
      </c>
      <c r="AI28">
        <f t="shared" si="21"/>
        <v>61.1310068623117</v>
      </c>
      <c r="AJ28">
        <f t="shared" si="22"/>
        <v>49.040799340956916</v>
      </c>
      <c r="AK28">
        <f t="shared" si="23"/>
        <v>48.507731342539614</v>
      </c>
      <c r="AL28">
        <f t="shared" si="24"/>
        <v>73.054773971315527</v>
      </c>
      <c r="AM28">
        <f t="shared" si="25"/>
        <v>59.135437767890075</v>
      </c>
      <c r="AN28">
        <f t="shared" si="26"/>
        <v>79.81227975693966</v>
      </c>
      <c r="AO28">
        <f t="shared" si="11"/>
        <v>83.240615086627031</v>
      </c>
      <c r="AP28">
        <f t="shared" si="27"/>
        <v>0</v>
      </c>
      <c r="AQ28">
        <f t="shared" si="28"/>
        <v>10.295630140987001</v>
      </c>
      <c r="AR28">
        <f t="shared" si="29"/>
        <v>19.209372712298546</v>
      </c>
      <c r="AS28">
        <f t="shared" si="30"/>
        <v>11.180339887498949</v>
      </c>
      <c r="AT28">
        <f t="shared" si="31"/>
        <v>31.11269837220809</v>
      </c>
      <c r="AU28">
        <f t="shared" si="32"/>
        <v>20.880613017821101</v>
      </c>
      <c r="AV28">
        <f t="shared" si="33"/>
        <v>11.661903789690601</v>
      </c>
      <c r="AW28">
        <f t="shared" si="34"/>
        <v>21.587033144922902</v>
      </c>
      <c r="AX28">
        <f t="shared" si="12"/>
        <v>18.677222644827641</v>
      </c>
    </row>
    <row r="29" spans="1:50">
      <c r="B29" s="45">
        <v>26</v>
      </c>
      <c r="C29">
        <f>Rand!R32</f>
        <v>582830</v>
      </c>
      <c r="D29">
        <f>Rand!S33</f>
        <v>600911</v>
      </c>
      <c r="P29" s="45">
        <v>26</v>
      </c>
      <c r="Q29">
        <f t="shared" si="0"/>
        <v>187.1251108379154</v>
      </c>
      <c r="R29">
        <f t="shared" si="1"/>
        <v>151.58495967608397</v>
      </c>
      <c r="S29">
        <f t="shared" si="2"/>
        <v>153.73353570382747</v>
      </c>
      <c r="T29">
        <f t="shared" si="3"/>
        <v>177.81451009408653</v>
      </c>
      <c r="U29">
        <f t="shared" si="4"/>
        <v>184.69434208984313</v>
      </c>
      <c r="V29">
        <f t="shared" si="5"/>
        <v>188.45158529447292</v>
      </c>
      <c r="W29">
        <f t="shared" si="6"/>
        <v>149.12075643584967</v>
      </c>
      <c r="X29">
        <f t="shared" si="7"/>
        <v>146.75149062275312</v>
      </c>
      <c r="Y29">
        <f t="shared" si="8"/>
        <v>143.68368035375485</v>
      </c>
      <c r="Z29">
        <f t="shared" si="9"/>
        <v>111.64676439557037</v>
      </c>
      <c r="AA29">
        <f t="shared" si="13"/>
        <v>88.68483523128404</v>
      </c>
      <c r="AB29">
        <f t="shared" ref="AB29:AB36" si="35">SQRT((($C29-$C$14)^2)+(($D29-$D$14)^2))</f>
        <v>136.01470508735443</v>
      </c>
      <c r="AC29">
        <f t="shared" ref="AC29:AC36" si="36">SQRT((($C29-$C$15)^2)+(($D29-$D$15)^2))</f>
        <v>128.4445405612866</v>
      </c>
      <c r="AD29">
        <f t="shared" si="16"/>
        <v>114.82595525402782</v>
      </c>
      <c r="AE29">
        <f t="shared" si="17"/>
        <v>110.86027241532469</v>
      </c>
      <c r="AF29">
        <f t="shared" si="18"/>
        <v>104.35516278555652</v>
      </c>
      <c r="AG29">
        <f t="shared" si="19"/>
        <v>101.17806086301516</v>
      </c>
      <c r="AH29">
        <f t="shared" si="20"/>
        <v>65.007691852580024</v>
      </c>
      <c r="AI29">
        <f t="shared" si="21"/>
        <v>59.506302187247357</v>
      </c>
      <c r="AJ29">
        <f t="shared" si="22"/>
        <v>44.553338819890925</v>
      </c>
      <c r="AK29">
        <f t="shared" si="23"/>
        <v>46.957427527495582</v>
      </c>
      <c r="AL29">
        <f t="shared" si="24"/>
        <v>72.006944109578768</v>
      </c>
      <c r="AM29">
        <f t="shared" si="25"/>
        <v>54.230987451824994</v>
      </c>
      <c r="AN29">
        <f t="shared" si="26"/>
        <v>78</v>
      </c>
      <c r="AO29">
        <f t="shared" si="11"/>
        <v>81.541400527584756</v>
      </c>
      <c r="AP29">
        <f t="shared" si="27"/>
        <v>10.295630140987001</v>
      </c>
      <c r="AQ29">
        <f t="shared" si="28"/>
        <v>0</v>
      </c>
      <c r="AR29">
        <f t="shared" si="29"/>
        <v>23.259406699226016</v>
      </c>
      <c r="AS29">
        <f t="shared" si="30"/>
        <v>9.2195444572928871</v>
      </c>
      <c r="AT29">
        <f t="shared" si="31"/>
        <v>35.355339059327378</v>
      </c>
      <c r="AU29">
        <f t="shared" si="32"/>
        <v>29.017236257093817</v>
      </c>
      <c r="AV29">
        <f t="shared" si="33"/>
        <v>15.297058540778355</v>
      </c>
      <c r="AW29">
        <f t="shared" si="34"/>
        <v>31.622776601683793</v>
      </c>
      <c r="AX29">
        <f t="shared" si="12"/>
        <v>16.49747452565374</v>
      </c>
    </row>
    <row r="30" spans="1:50">
      <c r="B30" s="45">
        <v>27</v>
      </c>
      <c r="C30">
        <f>Rand!R28</f>
        <v>582820</v>
      </c>
      <c r="D30">
        <f>Rand!S32</f>
        <v>600932</v>
      </c>
      <c r="P30" s="45">
        <v>27</v>
      </c>
      <c r="Q30">
        <f t="shared" si="0"/>
        <v>177.91926755161469</v>
      </c>
      <c r="R30">
        <f t="shared" si="1"/>
        <v>137.93114224133723</v>
      </c>
      <c r="S30">
        <f t="shared" si="2"/>
        <v>143.1258187749506</v>
      </c>
      <c r="T30">
        <f t="shared" si="3"/>
        <v>167.04789732289359</v>
      </c>
      <c r="U30">
        <f t="shared" si="4"/>
        <v>174.07182425654074</v>
      </c>
      <c r="V30">
        <f t="shared" si="5"/>
        <v>174.65680633745711</v>
      </c>
      <c r="W30">
        <f t="shared" si="6"/>
        <v>139.80700983856281</v>
      </c>
      <c r="X30">
        <f t="shared" si="7"/>
        <v>132.01893803541975</v>
      </c>
      <c r="Y30">
        <f t="shared" si="8"/>
        <v>133.18408313308313</v>
      </c>
      <c r="Z30">
        <f t="shared" si="9"/>
        <v>101.40019723846694</v>
      </c>
      <c r="AA30">
        <f t="shared" si="13"/>
        <v>78.638413005350003</v>
      </c>
      <c r="AB30">
        <f t="shared" si="35"/>
        <v>121.49485585818027</v>
      </c>
      <c r="AC30">
        <f t="shared" si="36"/>
        <v>114.12712210513327</v>
      </c>
      <c r="AD30">
        <f t="shared" si="16"/>
        <v>99.639349656649202</v>
      </c>
      <c r="AE30">
        <f t="shared" si="17"/>
        <v>95.12623192369179</v>
      </c>
      <c r="AF30">
        <f t="shared" si="18"/>
        <v>89.805345052507874</v>
      </c>
      <c r="AG30">
        <f t="shared" si="19"/>
        <v>92.22797840135064</v>
      </c>
      <c r="AH30">
        <f t="shared" si="20"/>
        <v>58.523499553598128</v>
      </c>
      <c r="AI30">
        <f t="shared" si="21"/>
        <v>44.181444068749045</v>
      </c>
      <c r="AJ30">
        <f t="shared" si="22"/>
        <v>36.76955262170047</v>
      </c>
      <c r="AK30">
        <f t="shared" si="23"/>
        <v>32</v>
      </c>
      <c r="AL30">
        <f t="shared" si="24"/>
        <v>55.317266743757322</v>
      </c>
      <c r="AM30">
        <f t="shared" si="25"/>
        <v>46.818799642878503</v>
      </c>
      <c r="AN30">
        <f t="shared" si="26"/>
        <v>62.649820430708338</v>
      </c>
      <c r="AO30">
        <f t="shared" si="11"/>
        <v>65.924198895398035</v>
      </c>
      <c r="AP30">
        <f t="shared" si="27"/>
        <v>19.209372712298546</v>
      </c>
      <c r="AQ30">
        <f t="shared" si="28"/>
        <v>23.259406699226016</v>
      </c>
      <c r="AR30">
        <f t="shared" si="29"/>
        <v>0</v>
      </c>
      <c r="AS30">
        <f t="shared" si="30"/>
        <v>14.560219778561036</v>
      </c>
      <c r="AT30">
        <f t="shared" si="31"/>
        <v>12.206555615733702</v>
      </c>
      <c r="AU30">
        <f t="shared" si="32"/>
        <v>12.041594578792296</v>
      </c>
      <c r="AV30">
        <f t="shared" si="33"/>
        <v>30.805843601498726</v>
      </c>
      <c r="AW30">
        <f t="shared" si="34"/>
        <v>21.931712199461309</v>
      </c>
      <c r="AX30">
        <f t="shared" si="12"/>
        <v>37.380498735612477</v>
      </c>
    </row>
    <row r="31" spans="1:50">
      <c r="B31" s="45">
        <v>28</v>
      </c>
      <c r="C31">
        <f>Rand!R26</f>
        <v>582824</v>
      </c>
      <c r="D31">
        <f>Rand!S31</f>
        <v>600918</v>
      </c>
      <c r="P31" s="45">
        <v>28</v>
      </c>
      <c r="Q31">
        <f t="shared" si="0"/>
        <v>181.11460207863615</v>
      </c>
      <c r="R31">
        <f t="shared" si="1"/>
        <v>144.15616532080756</v>
      </c>
      <c r="S31">
        <f t="shared" si="2"/>
        <v>147.21752613055281</v>
      </c>
      <c r="T31">
        <f t="shared" si="3"/>
        <v>171.29214809792072</v>
      </c>
      <c r="U31">
        <f t="shared" si="4"/>
        <v>178.22738285684386</v>
      </c>
      <c r="V31">
        <f t="shared" si="5"/>
        <v>181.03314613628081</v>
      </c>
      <c r="W31">
        <f t="shared" si="6"/>
        <v>143.00349646075091</v>
      </c>
      <c r="X31">
        <f t="shared" si="7"/>
        <v>139.01438774457844</v>
      </c>
      <c r="Y31">
        <f t="shared" si="8"/>
        <v>137.17871555019022</v>
      </c>
      <c r="Z31">
        <f t="shared" si="9"/>
        <v>105.11898020814318</v>
      </c>
      <c r="AA31">
        <f t="shared" si="13"/>
        <v>82.09750300709517</v>
      </c>
      <c r="AB31">
        <f t="shared" si="35"/>
        <v>128.31601614763451</v>
      </c>
      <c r="AC31">
        <f t="shared" si="36"/>
        <v>120.78493283518438</v>
      </c>
      <c r="AD31">
        <f t="shared" si="16"/>
        <v>106.90182411914213</v>
      </c>
      <c r="AE31">
        <f t="shared" si="17"/>
        <v>102.7861858422619</v>
      </c>
      <c r="AF31">
        <f t="shared" si="18"/>
        <v>96.566039579139826</v>
      </c>
      <c r="AG31">
        <f t="shared" si="19"/>
        <v>95.005263012108969</v>
      </c>
      <c r="AH31">
        <f t="shared" si="20"/>
        <v>59.304300012730948</v>
      </c>
      <c r="AI31">
        <f t="shared" si="21"/>
        <v>51.264022471905186</v>
      </c>
      <c r="AJ31">
        <f t="shared" si="22"/>
        <v>38</v>
      </c>
      <c r="AK31">
        <f t="shared" si="23"/>
        <v>38.626415831655933</v>
      </c>
      <c r="AL31">
        <f t="shared" si="24"/>
        <v>63.560994328282817</v>
      </c>
      <c r="AM31">
        <f t="shared" si="25"/>
        <v>48.041648597857254</v>
      </c>
      <c r="AN31">
        <f t="shared" si="26"/>
        <v>69.892775020026207</v>
      </c>
      <c r="AO31">
        <f t="shared" si="11"/>
        <v>73.389372527635089</v>
      </c>
      <c r="AP31">
        <f t="shared" si="27"/>
        <v>11.180339887498949</v>
      </c>
      <c r="AQ31">
        <f t="shared" si="28"/>
        <v>9.2195444572928871</v>
      </c>
      <c r="AR31">
        <f t="shared" si="29"/>
        <v>14.560219778561036</v>
      </c>
      <c r="AS31">
        <f t="shared" si="30"/>
        <v>0</v>
      </c>
      <c r="AT31">
        <f t="shared" si="31"/>
        <v>26.40075756488817</v>
      </c>
      <c r="AU31">
        <f t="shared" si="32"/>
        <v>22.561028345356956</v>
      </c>
      <c r="AV31">
        <f t="shared" si="33"/>
        <v>21.377558326431949</v>
      </c>
      <c r="AW31">
        <f t="shared" si="34"/>
        <v>28.0178514522438</v>
      </c>
      <c r="AX31">
        <f t="shared" si="12"/>
        <v>25.14347401859898</v>
      </c>
    </row>
    <row r="32" spans="1:50">
      <c r="B32" s="45">
        <v>29</v>
      </c>
      <c r="C32">
        <f>Rand!R27</f>
        <v>582813</v>
      </c>
      <c r="D32">
        <f>Rand!S30</f>
        <v>600942</v>
      </c>
      <c r="P32" s="45">
        <v>29</v>
      </c>
      <c r="Q32">
        <f t="shared" si="0"/>
        <v>172.24678367419153</v>
      </c>
      <c r="R32">
        <f t="shared" si="1"/>
        <v>130.13838787997952</v>
      </c>
      <c r="S32">
        <f t="shared" si="2"/>
        <v>136.93794214898952</v>
      </c>
      <c r="T32">
        <f t="shared" si="3"/>
        <v>160.61133210331082</v>
      </c>
      <c r="U32">
        <f t="shared" si="4"/>
        <v>167.67229944149989</v>
      </c>
      <c r="V32">
        <f t="shared" si="5"/>
        <v>166.5893153836704</v>
      </c>
      <c r="W32">
        <f t="shared" si="6"/>
        <v>134.34656675925888</v>
      </c>
      <c r="X32">
        <f t="shared" si="7"/>
        <v>123.68508398347798</v>
      </c>
      <c r="Y32">
        <f t="shared" si="8"/>
        <v>127.1416532848303</v>
      </c>
      <c r="Z32">
        <f t="shared" si="9"/>
        <v>95.900990610107883</v>
      </c>
      <c r="AA32">
        <f t="shared" si="13"/>
        <v>73.763134423640111</v>
      </c>
      <c r="AB32">
        <f t="shared" si="35"/>
        <v>113.35784048754634</v>
      </c>
      <c r="AC32">
        <f t="shared" si="36"/>
        <v>106.16967551989597</v>
      </c>
      <c r="AD32">
        <f t="shared" si="16"/>
        <v>91.35097153287424</v>
      </c>
      <c r="AE32">
        <f t="shared" si="17"/>
        <v>86.579443287653447</v>
      </c>
      <c r="AF32">
        <f t="shared" si="18"/>
        <v>82.024386617639507</v>
      </c>
      <c r="AG32">
        <f t="shared" si="19"/>
        <v>87.641314458421945</v>
      </c>
      <c r="AH32">
        <f t="shared" si="20"/>
        <v>56.603886792339623</v>
      </c>
      <c r="AI32">
        <f t="shared" si="21"/>
        <v>37.483329627982627</v>
      </c>
      <c r="AJ32">
        <f t="shared" si="22"/>
        <v>36.124783736376884</v>
      </c>
      <c r="AK32">
        <f t="shared" si="23"/>
        <v>26.92582403567252</v>
      </c>
      <c r="AL32">
        <f t="shared" si="24"/>
        <v>47.042533945356304</v>
      </c>
      <c r="AM32">
        <f t="shared" si="25"/>
        <v>45.221676218380054</v>
      </c>
      <c r="AN32">
        <f t="shared" si="26"/>
        <v>55.009090157900268</v>
      </c>
      <c r="AO32">
        <f t="shared" si="11"/>
        <v>58.008620049092706</v>
      </c>
      <c r="AP32">
        <f t="shared" si="27"/>
        <v>31.11269837220809</v>
      </c>
      <c r="AQ32">
        <f t="shared" si="28"/>
        <v>35.355339059327378</v>
      </c>
      <c r="AR32">
        <f t="shared" si="29"/>
        <v>12.206555615733702</v>
      </c>
      <c r="AS32">
        <f t="shared" si="30"/>
        <v>26.40075756488817</v>
      </c>
      <c r="AT32">
        <f t="shared" si="31"/>
        <v>0</v>
      </c>
      <c r="AU32">
        <f t="shared" si="32"/>
        <v>16.124515496597098</v>
      </c>
      <c r="AV32">
        <f t="shared" si="33"/>
        <v>42.5205832509386</v>
      </c>
      <c r="AW32">
        <f t="shared" si="34"/>
        <v>27.018512172212592</v>
      </c>
      <c r="AX32">
        <f t="shared" si="12"/>
        <v>49.516353316074344</v>
      </c>
    </row>
    <row r="33" spans="1:50">
      <c r="B33" s="45">
        <v>30</v>
      </c>
      <c r="C33">
        <f>Rand!R30</f>
        <v>582829</v>
      </c>
      <c r="D33">
        <f>Rand!S27</f>
        <v>600940</v>
      </c>
      <c r="P33" s="45">
        <v>30</v>
      </c>
      <c r="Q33">
        <f t="shared" si="0"/>
        <v>187.78429169156323</v>
      </c>
      <c r="R33">
        <f t="shared" si="1"/>
        <v>146.21901381147393</v>
      </c>
      <c r="S33">
        <f t="shared" si="2"/>
        <v>152.64337522473747</v>
      </c>
      <c r="T33">
        <f t="shared" si="3"/>
        <v>176.40861656959956</v>
      </c>
      <c r="U33">
        <f t="shared" si="4"/>
        <v>183.46116755324545</v>
      </c>
      <c r="V33">
        <f t="shared" si="5"/>
        <v>182.70194306574848</v>
      </c>
      <c r="W33">
        <f t="shared" si="6"/>
        <v>149.77650015940418</v>
      </c>
      <c r="X33">
        <f t="shared" si="7"/>
        <v>139.80700983856281</v>
      </c>
      <c r="Y33">
        <f t="shared" si="8"/>
        <v>142.79005567615695</v>
      </c>
      <c r="Z33">
        <f t="shared" si="9"/>
        <v>111.30588483993108</v>
      </c>
      <c r="AA33">
        <f t="shared" si="13"/>
        <v>88.842557369765089</v>
      </c>
      <c r="AB33">
        <f t="shared" si="35"/>
        <v>129.46814279968643</v>
      </c>
      <c r="AC33">
        <f t="shared" si="36"/>
        <v>122.2620137246234</v>
      </c>
      <c r="AD33">
        <f t="shared" si="16"/>
        <v>107.46627377926528</v>
      </c>
      <c r="AE33">
        <f t="shared" si="17"/>
        <v>102.70345661174214</v>
      </c>
      <c r="AF33">
        <f t="shared" si="18"/>
        <v>98.081598681913832</v>
      </c>
      <c r="AG33">
        <f t="shared" si="19"/>
        <v>102.61091559868278</v>
      </c>
      <c r="AH33">
        <f t="shared" si="20"/>
        <v>69.856996786291916</v>
      </c>
      <c r="AI33">
        <f t="shared" si="21"/>
        <v>53.150729063673246</v>
      </c>
      <c r="AJ33">
        <f t="shared" si="22"/>
        <v>48.301138702933287</v>
      </c>
      <c r="AK33">
        <f t="shared" si="23"/>
        <v>41.773197148410844</v>
      </c>
      <c r="AL33">
        <f t="shared" si="24"/>
        <v>63.126856408346519</v>
      </c>
      <c r="AM33">
        <f t="shared" si="25"/>
        <v>58.180752831155424</v>
      </c>
      <c r="AN33">
        <f t="shared" si="26"/>
        <v>71.007041904306931</v>
      </c>
      <c r="AO33">
        <f t="shared" si="11"/>
        <v>74.060785845142092</v>
      </c>
      <c r="AP33">
        <f t="shared" si="27"/>
        <v>20.880613017821101</v>
      </c>
      <c r="AQ33">
        <f t="shared" si="28"/>
        <v>29.017236257093817</v>
      </c>
      <c r="AR33">
        <f t="shared" si="29"/>
        <v>12.041594578792296</v>
      </c>
      <c r="AS33">
        <f t="shared" si="30"/>
        <v>22.561028345356956</v>
      </c>
      <c r="AT33">
        <f t="shared" si="31"/>
        <v>16.124515496597098</v>
      </c>
      <c r="AU33">
        <f t="shared" si="32"/>
        <v>0</v>
      </c>
      <c r="AV33">
        <f t="shared" si="33"/>
        <v>30.528675044947494</v>
      </c>
      <c r="AW33">
        <f t="shared" si="34"/>
        <v>11.045361017187261</v>
      </c>
      <c r="AX33">
        <f t="shared" si="12"/>
        <v>39.179406908773551</v>
      </c>
    </row>
    <row r="34" spans="1:50">
      <c r="B34" s="45">
        <v>31</v>
      </c>
      <c r="C34">
        <f>Rand!R33</f>
        <v>582845</v>
      </c>
      <c r="D34">
        <f>Rand!S26</f>
        <v>600914</v>
      </c>
      <c r="P34" s="45">
        <v>31</v>
      </c>
      <c r="Q34">
        <f t="shared" si="0"/>
        <v>202.08802360877445</v>
      </c>
      <c r="R34">
        <f t="shared" si="1"/>
        <v>165.5294535724685</v>
      </c>
      <c r="S34">
        <f t="shared" si="2"/>
        <v>168.4280261714184</v>
      </c>
      <c r="T34">
        <f t="shared" si="3"/>
        <v>192.50974001333023</v>
      </c>
      <c r="U34">
        <f t="shared" si="4"/>
        <v>199.42417105255822</v>
      </c>
      <c r="V34">
        <f t="shared" si="5"/>
        <v>202.40553352119602</v>
      </c>
      <c r="W34">
        <f t="shared" si="6"/>
        <v>164.02743672934722</v>
      </c>
      <c r="X34">
        <f t="shared" si="7"/>
        <v>160.33090781256121</v>
      </c>
      <c r="Y34">
        <f t="shared" si="8"/>
        <v>158.38244852255568</v>
      </c>
      <c r="Z34">
        <f t="shared" si="9"/>
        <v>126.3210196285638</v>
      </c>
      <c r="AA34">
        <f t="shared" si="13"/>
        <v>103.31021246711285</v>
      </c>
      <c r="AB34">
        <f t="shared" si="35"/>
        <v>149.64624953536256</v>
      </c>
      <c r="AC34">
        <f t="shared" si="36"/>
        <v>142.12670403551894</v>
      </c>
      <c r="AD34">
        <f t="shared" si="16"/>
        <v>128.16005617976296</v>
      </c>
      <c r="AE34">
        <f t="shared" si="17"/>
        <v>123.96773773849388</v>
      </c>
      <c r="AF34">
        <f t="shared" si="18"/>
        <v>117.881296226331</v>
      </c>
      <c r="AG34">
        <f t="shared" si="19"/>
        <v>116.03878661895772</v>
      </c>
      <c r="AH34">
        <f t="shared" si="20"/>
        <v>80.02499609497022</v>
      </c>
      <c r="AI34">
        <f t="shared" si="21"/>
        <v>72.422372233999624</v>
      </c>
      <c r="AJ34">
        <f t="shared" si="22"/>
        <v>59.135437767890075</v>
      </c>
      <c r="AK34">
        <f t="shared" si="23"/>
        <v>59.774576535513823</v>
      </c>
      <c r="AL34">
        <f t="shared" si="24"/>
        <v>84.504437753291981</v>
      </c>
      <c r="AM34">
        <f t="shared" si="25"/>
        <v>69.028979421689272</v>
      </c>
      <c r="AN34">
        <f t="shared" si="26"/>
        <v>91.093358704133863</v>
      </c>
      <c r="AO34">
        <f t="shared" si="11"/>
        <v>94.556861200020805</v>
      </c>
      <c r="AP34">
        <f t="shared" si="27"/>
        <v>11.661903789690601</v>
      </c>
      <c r="AQ34">
        <f t="shared" si="28"/>
        <v>15.297058540778355</v>
      </c>
      <c r="AR34">
        <f t="shared" si="29"/>
        <v>30.805843601498726</v>
      </c>
      <c r="AS34">
        <f t="shared" si="30"/>
        <v>21.377558326431949</v>
      </c>
      <c r="AT34">
        <f t="shared" si="31"/>
        <v>42.5205832509386</v>
      </c>
      <c r="AU34">
        <f t="shared" si="32"/>
        <v>30.528675044947494</v>
      </c>
      <c r="AV34">
        <f t="shared" si="33"/>
        <v>0</v>
      </c>
      <c r="AW34">
        <f t="shared" si="34"/>
        <v>27.459060435491963</v>
      </c>
      <c r="AX34">
        <f t="shared" si="12"/>
        <v>9.7370902083355713</v>
      </c>
    </row>
    <row r="35" spans="1:50">
      <c r="B35" s="45">
        <v>32</v>
      </c>
      <c r="C35">
        <f>Rand!R29</f>
        <v>582840</v>
      </c>
      <c r="D35">
        <f>Rand!S29</f>
        <v>600941</v>
      </c>
      <c r="P35" s="45">
        <v>32</v>
      </c>
      <c r="Q35">
        <f t="shared" si="0"/>
        <v>198.81959487460227</v>
      </c>
      <c r="R35">
        <f t="shared" si="1"/>
        <v>157.15597347857954</v>
      </c>
      <c r="S35">
        <f t="shared" si="2"/>
        <v>163.68872899500442</v>
      </c>
      <c r="T35">
        <f t="shared" si="3"/>
        <v>187.45132701584163</v>
      </c>
      <c r="U35">
        <f t="shared" si="4"/>
        <v>194.50449866262733</v>
      </c>
      <c r="V35">
        <f t="shared" si="5"/>
        <v>193.58202395883765</v>
      </c>
      <c r="W35">
        <f t="shared" si="6"/>
        <v>160.80111939908875</v>
      </c>
      <c r="X35">
        <f t="shared" si="7"/>
        <v>150.65191668213185</v>
      </c>
      <c r="Y35">
        <f t="shared" si="8"/>
        <v>153.83432646844463</v>
      </c>
      <c r="Z35">
        <f t="shared" si="9"/>
        <v>122.3315167894194</v>
      </c>
      <c r="AA35">
        <f t="shared" si="13"/>
        <v>99.824846606443629</v>
      </c>
      <c r="AB35">
        <f t="shared" si="35"/>
        <v>140.356688476182</v>
      </c>
      <c r="AC35">
        <f t="shared" si="36"/>
        <v>133.18408313308313</v>
      </c>
      <c r="AD35">
        <f t="shared" si="16"/>
        <v>118.34272263219231</v>
      </c>
      <c r="AE35">
        <f t="shared" si="17"/>
        <v>113.53413583587978</v>
      </c>
      <c r="AF35">
        <f t="shared" si="18"/>
        <v>109.04127658827184</v>
      </c>
      <c r="AG35">
        <f t="shared" si="19"/>
        <v>113.5649593844862</v>
      </c>
      <c r="AH35">
        <f t="shared" si="20"/>
        <v>80.411441971898498</v>
      </c>
      <c r="AI35">
        <f t="shared" si="21"/>
        <v>64.195015382816138</v>
      </c>
      <c r="AJ35">
        <f t="shared" si="22"/>
        <v>58.694122363316758</v>
      </c>
      <c r="AK35">
        <f t="shared" si="23"/>
        <v>52.773099207835045</v>
      </c>
      <c r="AL35">
        <f t="shared" si="24"/>
        <v>74.060785845142092</v>
      </c>
      <c r="AM35">
        <f t="shared" si="25"/>
        <v>68.709533545207535</v>
      </c>
      <c r="AN35">
        <f t="shared" si="26"/>
        <v>82</v>
      </c>
      <c r="AO35">
        <f t="shared" si="11"/>
        <v>85.023526155999903</v>
      </c>
      <c r="AP35">
        <f t="shared" si="27"/>
        <v>21.587033144922902</v>
      </c>
      <c r="AQ35">
        <f t="shared" si="28"/>
        <v>31.622776601683793</v>
      </c>
      <c r="AR35">
        <f t="shared" si="29"/>
        <v>21.931712199461309</v>
      </c>
      <c r="AS35">
        <f t="shared" si="30"/>
        <v>28.0178514522438</v>
      </c>
      <c r="AT35">
        <f t="shared" si="31"/>
        <v>27.018512172212592</v>
      </c>
      <c r="AU35">
        <f t="shared" si="32"/>
        <v>11.045361017187261</v>
      </c>
      <c r="AV35">
        <f t="shared" si="33"/>
        <v>27.459060435491963</v>
      </c>
      <c r="AW35">
        <f t="shared" si="34"/>
        <v>0</v>
      </c>
      <c r="AX35">
        <f t="shared" si="12"/>
        <v>37.083641484134183</v>
      </c>
    </row>
    <row r="36" spans="1:50">
      <c r="B36" s="30" t="s">
        <v>46</v>
      </c>
      <c r="C36">
        <f>'Map Template'!U8</f>
        <v>582845.05923999997</v>
      </c>
      <c r="D36">
        <f>'Map Template'!V8</f>
        <v>600904.26309000002</v>
      </c>
      <c r="O36" s="33" t="s">
        <v>48</v>
      </c>
      <c r="P36" s="45">
        <v>33</v>
      </c>
      <c r="Q36">
        <f t="shared" si="0"/>
        <v>202.42035766968698</v>
      </c>
      <c r="R36">
        <f t="shared" si="1"/>
        <v>167.8574233262118</v>
      </c>
      <c r="S36">
        <f t="shared" si="2"/>
        <v>169.45914376543902</v>
      </c>
      <c r="T36">
        <f t="shared" si="3"/>
        <v>193.5205223373334</v>
      </c>
      <c r="U36">
        <f t="shared" si="4"/>
        <v>200.353557756567</v>
      </c>
      <c r="V36">
        <f t="shared" si="5"/>
        <v>204.70508153368542</v>
      </c>
      <c r="W36">
        <f t="shared" si="6"/>
        <v>164.55291886112607</v>
      </c>
      <c r="X36">
        <f t="shared" si="7"/>
        <v>163.14901760573105</v>
      </c>
      <c r="Y36">
        <f t="shared" si="8"/>
        <v>159.41374716666161</v>
      </c>
      <c r="Z36">
        <f t="shared" si="9"/>
        <v>127.44412024773099</v>
      </c>
      <c r="AA36">
        <f t="shared" si="13"/>
        <v>104.57439899764853</v>
      </c>
      <c r="AB36">
        <f t="shared" si="35"/>
        <v>152.40249953893752</v>
      </c>
      <c r="AC36">
        <f t="shared" si="36"/>
        <v>144.82151444352581</v>
      </c>
      <c r="AD36">
        <f t="shared" si="16"/>
        <v>131.28382035009903</v>
      </c>
      <c r="AE36">
        <f t="shared" si="17"/>
        <v>127.34518728918363</v>
      </c>
      <c r="AF36">
        <f t="shared" si="18"/>
        <v>120.78299650910233</v>
      </c>
      <c r="AG36">
        <f t="shared" si="19"/>
        <v>116.75605365769655</v>
      </c>
      <c r="AH36">
        <f t="shared" si="20"/>
        <v>80.432217958483946</v>
      </c>
      <c r="AI36">
        <f t="shared" si="21"/>
        <v>76.002697884486906</v>
      </c>
      <c r="AJ36">
        <f t="shared" si="22"/>
        <v>60.635769358703833</v>
      </c>
      <c r="AK36">
        <f t="shared" si="23"/>
        <v>63.443621001022727</v>
      </c>
      <c r="AL36">
        <f t="shared" si="24"/>
        <v>88.483814597471437</v>
      </c>
      <c r="AM36">
        <f t="shared" si="25"/>
        <v>70.049508818559744</v>
      </c>
      <c r="AN36">
        <f t="shared" si="26"/>
        <v>94.492919447540643</v>
      </c>
      <c r="AO36">
        <f t="shared" si="11"/>
        <v>98.036803832638057</v>
      </c>
      <c r="AP36">
        <f t="shared" si="27"/>
        <v>18.677222644827641</v>
      </c>
      <c r="AQ36">
        <f t="shared" si="28"/>
        <v>16.49747452565374</v>
      </c>
      <c r="AR36">
        <f t="shared" si="29"/>
        <v>37.380498735612477</v>
      </c>
      <c r="AS36">
        <f t="shared" si="30"/>
        <v>25.14347401859898</v>
      </c>
      <c r="AT36">
        <f t="shared" si="31"/>
        <v>49.516353316074344</v>
      </c>
      <c r="AU36">
        <f t="shared" si="32"/>
        <v>39.179406908773551</v>
      </c>
      <c r="AV36">
        <f t="shared" si="33"/>
        <v>9.7370902083355713</v>
      </c>
      <c r="AW36">
        <f t="shared" si="34"/>
        <v>37.083641484134183</v>
      </c>
      <c r="AX36">
        <f t="shared" si="12"/>
        <v>0</v>
      </c>
    </row>
    <row r="38" spans="1:50">
      <c r="Q38" s="43" t="s">
        <v>43</v>
      </c>
      <c r="R38" s="43"/>
      <c r="S38" s="43"/>
      <c r="T38" s="43"/>
      <c r="U38" s="43"/>
      <c r="V38" s="43"/>
      <c r="W38" s="43"/>
      <c r="X38" s="43"/>
      <c r="Y38" s="43"/>
      <c r="Z38" s="43"/>
    </row>
    <row r="39" spans="1:50">
      <c r="Q39" s="33" t="s">
        <v>47</v>
      </c>
      <c r="R39" s="33"/>
      <c r="S39" s="33"/>
      <c r="T39" s="33"/>
      <c r="U39" s="33"/>
      <c r="V39" s="33"/>
      <c r="W39" s="33"/>
      <c r="X39" s="33"/>
      <c r="Y39" s="33"/>
      <c r="AX39" s="33" t="s">
        <v>48</v>
      </c>
    </row>
    <row r="40" spans="1:50">
      <c r="Q40" s="32">
        <v>1</v>
      </c>
      <c r="R40" s="45">
        <v>1</v>
      </c>
      <c r="S40" s="45">
        <v>2</v>
      </c>
      <c r="T40" s="45">
        <v>3</v>
      </c>
      <c r="U40" s="45">
        <v>4</v>
      </c>
      <c r="V40" s="45">
        <v>5</v>
      </c>
      <c r="W40" s="45">
        <v>6</v>
      </c>
      <c r="X40" s="45">
        <v>7</v>
      </c>
      <c r="Y40" s="45">
        <v>8</v>
      </c>
      <c r="Z40" s="45">
        <v>9</v>
      </c>
      <c r="AA40" s="45">
        <v>10</v>
      </c>
      <c r="AB40" s="45">
        <v>11</v>
      </c>
      <c r="AC40" s="45">
        <v>12</v>
      </c>
      <c r="AD40" s="45">
        <v>13</v>
      </c>
      <c r="AE40" s="45">
        <v>14</v>
      </c>
      <c r="AF40" s="45">
        <v>15</v>
      </c>
      <c r="AG40" s="45">
        <v>16</v>
      </c>
      <c r="AH40" s="45">
        <v>17</v>
      </c>
      <c r="AI40" s="45">
        <v>18</v>
      </c>
      <c r="AJ40" s="45">
        <v>19</v>
      </c>
      <c r="AK40" s="45">
        <v>20</v>
      </c>
      <c r="AL40" s="45">
        <v>21</v>
      </c>
      <c r="AM40" s="45">
        <v>22</v>
      </c>
      <c r="AN40" s="45">
        <v>23</v>
      </c>
      <c r="AO40" s="45">
        <v>24</v>
      </c>
      <c r="AP40" s="45">
        <v>25</v>
      </c>
      <c r="AQ40" s="45">
        <v>26</v>
      </c>
      <c r="AR40" s="45">
        <v>27</v>
      </c>
      <c r="AS40" s="45">
        <v>28</v>
      </c>
      <c r="AT40" s="45">
        <v>29</v>
      </c>
      <c r="AU40" s="45">
        <v>30</v>
      </c>
      <c r="AV40" s="45">
        <v>31</v>
      </c>
      <c r="AW40" s="45">
        <v>32</v>
      </c>
      <c r="AX40" s="45">
        <v>33</v>
      </c>
    </row>
    <row r="41" spans="1:50">
      <c r="Q41">
        <f>SQRT((($R42-$C$3)^2)+(($R43-$D$3)^2))</f>
        <v>52.046368231770444</v>
      </c>
      <c r="R41">
        <f>INDEX($R$4:$AW$35,R40,S40)</f>
        <v>22.803508501982758</v>
      </c>
      <c r="S41">
        <f t="shared" ref="S41:AV41" si="37">INDEX($R$4:$AW$35,S40,T40)</f>
        <v>24.083189157584592</v>
      </c>
      <c r="T41">
        <f t="shared" si="37"/>
        <v>7.0710678118654755</v>
      </c>
      <c r="U41">
        <f t="shared" si="37"/>
        <v>29.017236257093817</v>
      </c>
      <c r="V41">
        <f t="shared" si="37"/>
        <v>51.739733281106119</v>
      </c>
      <c r="W41">
        <f t="shared" si="37"/>
        <v>39.05124837953327</v>
      </c>
      <c r="X41">
        <f t="shared" si="37"/>
        <v>30.14962686336267</v>
      </c>
      <c r="Y41">
        <f t="shared" si="37"/>
        <v>32.062439083762797</v>
      </c>
      <c r="Z41">
        <f t="shared" si="37"/>
        <v>23.021728866442675</v>
      </c>
      <c r="AA41">
        <f t="shared" si="37"/>
        <v>51.039200620699383</v>
      </c>
      <c r="AB41">
        <f t="shared" si="37"/>
        <v>7.6157731058639087</v>
      </c>
      <c r="AC41">
        <f t="shared" si="37"/>
        <v>15.132745950421556</v>
      </c>
      <c r="AD41">
        <f t="shared" si="37"/>
        <v>5.3851648071345037</v>
      </c>
      <c r="AE41">
        <f t="shared" si="37"/>
        <v>8.9442719099991592</v>
      </c>
      <c r="AF41">
        <f t="shared" si="37"/>
        <v>27.073972741361768</v>
      </c>
      <c r="AG41">
        <f t="shared" si="37"/>
        <v>36.345563690772494</v>
      </c>
      <c r="AH41">
        <f t="shared" si="37"/>
        <v>26.40075756488817</v>
      </c>
      <c r="AI41">
        <f t="shared" si="37"/>
        <v>20.591260281974002</v>
      </c>
      <c r="AJ41">
        <f t="shared" si="37"/>
        <v>14.142135623730951</v>
      </c>
      <c r="AK41">
        <f t="shared" si="37"/>
        <v>25.059928172283335</v>
      </c>
      <c r="AL41">
        <f t="shared" si="37"/>
        <v>29.732137494637012</v>
      </c>
      <c r="AM41">
        <f t="shared" si="37"/>
        <v>30.805843601498726</v>
      </c>
      <c r="AN41">
        <f t="shared" si="37"/>
        <v>3.6055512754639891</v>
      </c>
      <c r="AO41">
        <f t="shared" si="37"/>
        <v>83.240615086627031</v>
      </c>
      <c r="AP41">
        <f t="shared" si="37"/>
        <v>10.295630140987001</v>
      </c>
      <c r="AQ41">
        <f>INDEX($R$4:$AW$35,AQ40,AR40)</f>
        <v>23.259406699226016</v>
      </c>
      <c r="AR41">
        <f t="shared" si="37"/>
        <v>14.560219778561036</v>
      </c>
      <c r="AS41">
        <f t="shared" si="37"/>
        <v>26.40075756488817</v>
      </c>
      <c r="AT41">
        <f t="shared" si="37"/>
        <v>16.124515496597098</v>
      </c>
      <c r="AU41">
        <f t="shared" si="37"/>
        <v>30.528675044947494</v>
      </c>
      <c r="AV41">
        <f t="shared" si="37"/>
        <v>27.459060435491963</v>
      </c>
      <c r="AW41">
        <f>INDEX($R$4:$AX$36,AW40,AX40)</f>
        <v>37.083641484134183</v>
      </c>
    </row>
    <row r="42" spans="1:50">
      <c r="P42" s="44" t="s">
        <v>25</v>
      </c>
      <c r="Q42">
        <f>C3</f>
        <v>582642.91358000005</v>
      </c>
      <c r="R42">
        <f t="shared" ref="R42:AW42" si="38">VLOOKUP(R40,$B$4:$C$35,2,FALSE)</f>
        <v>582683</v>
      </c>
      <c r="S42">
        <f t="shared" si="38"/>
        <v>582677</v>
      </c>
      <c r="T42">
        <f t="shared" si="38"/>
        <v>582653</v>
      </c>
      <c r="U42">
        <f t="shared" si="38"/>
        <v>582646</v>
      </c>
      <c r="V42">
        <f t="shared" si="38"/>
        <v>582647</v>
      </c>
      <c r="W42">
        <f t="shared" si="38"/>
        <v>582681</v>
      </c>
      <c r="X42">
        <f t="shared" si="38"/>
        <v>582690</v>
      </c>
      <c r="Y42">
        <f t="shared" si="38"/>
        <v>582687</v>
      </c>
      <c r="Z42">
        <f t="shared" si="38"/>
        <v>582719</v>
      </c>
      <c r="AA42">
        <f t="shared" si="38"/>
        <v>582742</v>
      </c>
      <c r="AB42">
        <f t="shared" si="38"/>
        <v>582700</v>
      </c>
      <c r="AC42">
        <f t="shared" si="38"/>
        <v>582707</v>
      </c>
      <c r="AD42">
        <f t="shared" si="38"/>
        <v>582722</v>
      </c>
      <c r="AE42">
        <f t="shared" si="38"/>
        <v>582727</v>
      </c>
      <c r="AF42">
        <f t="shared" si="38"/>
        <v>582731</v>
      </c>
      <c r="AG42">
        <f t="shared" si="38"/>
        <v>582729</v>
      </c>
      <c r="AH42">
        <f t="shared" si="38"/>
        <v>582765</v>
      </c>
      <c r="AI42">
        <f t="shared" si="38"/>
        <v>582776</v>
      </c>
      <c r="AJ42">
        <f t="shared" si="38"/>
        <v>582786</v>
      </c>
      <c r="AK42">
        <f t="shared" si="38"/>
        <v>582788</v>
      </c>
      <c r="AL42">
        <f t="shared" si="38"/>
        <v>582766</v>
      </c>
      <c r="AM42">
        <f t="shared" si="38"/>
        <v>582776</v>
      </c>
      <c r="AN42">
        <f t="shared" si="38"/>
        <v>582758</v>
      </c>
      <c r="AO42">
        <f t="shared" si="38"/>
        <v>582755</v>
      </c>
      <c r="AP42">
        <f t="shared" si="38"/>
        <v>582835</v>
      </c>
      <c r="AQ42">
        <f t="shared" si="38"/>
        <v>582830</v>
      </c>
      <c r="AR42">
        <f t="shared" si="38"/>
        <v>582820</v>
      </c>
      <c r="AS42">
        <f t="shared" si="38"/>
        <v>582824</v>
      </c>
      <c r="AT42">
        <f t="shared" si="38"/>
        <v>582813</v>
      </c>
      <c r="AU42">
        <f t="shared" si="38"/>
        <v>582829</v>
      </c>
      <c r="AV42">
        <f t="shared" si="38"/>
        <v>582845</v>
      </c>
      <c r="AW42">
        <f t="shared" si="38"/>
        <v>582840</v>
      </c>
      <c r="AX42">
        <f>C36</f>
        <v>582845.05923999997</v>
      </c>
    </row>
    <row r="43" spans="1:50" s="42" customFormat="1">
      <c r="A43"/>
      <c r="B43"/>
      <c r="C43"/>
      <c r="D43"/>
      <c r="P43" s="44" t="s">
        <v>26</v>
      </c>
      <c r="Q43">
        <f>D3</f>
        <v>600914.80507</v>
      </c>
      <c r="R43">
        <f>VLOOKUP(R40,$B$4:$D$35,3,FALSE)</f>
        <v>600948</v>
      </c>
      <c r="S43">
        <f t="shared" ref="S43:AW43" si="39">VLOOKUP(S40,$B$4:$D$35,3,FALSE)</f>
        <v>600926</v>
      </c>
      <c r="T43">
        <f t="shared" si="39"/>
        <v>600928</v>
      </c>
      <c r="U43">
        <f t="shared" si="39"/>
        <v>600927</v>
      </c>
      <c r="V43">
        <f t="shared" si="39"/>
        <v>600956</v>
      </c>
      <c r="W43">
        <f t="shared" si="39"/>
        <v>600917</v>
      </c>
      <c r="X43">
        <f t="shared" si="39"/>
        <v>600955</v>
      </c>
      <c r="Y43">
        <f t="shared" si="39"/>
        <v>600925</v>
      </c>
      <c r="Z43">
        <f t="shared" si="39"/>
        <v>600923</v>
      </c>
      <c r="AA43">
        <f t="shared" si="39"/>
        <v>600922</v>
      </c>
      <c r="AB43">
        <f t="shared" si="39"/>
        <v>600951</v>
      </c>
      <c r="AC43">
        <f t="shared" si="39"/>
        <v>600948</v>
      </c>
      <c r="AD43">
        <f t="shared" si="39"/>
        <v>600950</v>
      </c>
      <c r="AE43">
        <f t="shared" si="39"/>
        <v>600952</v>
      </c>
      <c r="AF43">
        <f t="shared" si="39"/>
        <v>600944</v>
      </c>
      <c r="AG43">
        <f t="shared" si="39"/>
        <v>600917</v>
      </c>
      <c r="AH43">
        <f t="shared" si="39"/>
        <v>600912</v>
      </c>
      <c r="AI43">
        <f t="shared" si="39"/>
        <v>600936</v>
      </c>
      <c r="AJ43">
        <f t="shared" si="39"/>
        <v>600918</v>
      </c>
      <c r="AK43">
        <f t="shared" si="39"/>
        <v>600932</v>
      </c>
      <c r="AL43">
        <f t="shared" si="39"/>
        <v>600944</v>
      </c>
      <c r="AM43">
        <f t="shared" si="39"/>
        <v>600916</v>
      </c>
      <c r="AN43">
        <f t="shared" si="39"/>
        <v>600941</v>
      </c>
      <c r="AO43">
        <f t="shared" si="39"/>
        <v>600943</v>
      </c>
      <c r="AP43">
        <f t="shared" si="39"/>
        <v>600920</v>
      </c>
      <c r="AQ43">
        <f t="shared" si="39"/>
        <v>600911</v>
      </c>
      <c r="AR43">
        <f t="shared" si="39"/>
        <v>600932</v>
      </c>
      <c r="AS43">
        <f t="shared" si="39"/>
        <v>600918</v>
      </c>
      <c r="AT43">
        <f t="shared" si="39"/>
        <v>600942</v>
      </c>
      <c r="AU43">
        <f t="shared" si="39"/>
        <v>600940</v>
      </c>
      <c r="AV43">
        <f t="shared" si="39"/>
        <v>600914</v>
      </c>
      <c r="AW43">
        <f t="shared" si="39"/>
        <v>600941</v>
      </c>
      <c r="AX43">
        <f>D36</f>
        <v>600904.26309000002</v>
      </c>
    </row>
    <row r="44" spans="1:50" s="42" customFormat="1">
      <c r="A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</row>
    <row r="45" spans="1:50" s="42" customFormat="1">
      <c r="P45"/>
      <c r="Q45" s="43" t="s">
        <v>44</v>
      </c>
      <c r="R45" s="43"/>
      <c r="S45" s="43"/>
      <c r="T45" s="31">
        <f>SUM(Q41:AW41)</f>
        <v>881.87297500669376</v>
      </c>
      <c r="U45" t="s">
        <v>49</v>
      </c>
      <c r="V45" s="43"/>
      <c r="W45" s="43"/>
      <c r="X45" s="43"/>
      <c r="Y45" s="43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</row>
    <row r="46" spans="1:50" s="42" customFormat="1"/>
    <row r="47" spans="1:50" s="42" customFormat="1"/>
    <row r="48" spans="1:50" s="42" customFormat="1"/>
    <row r="49" s="42" customFormat="1"/>
    <row r="50" s="42" customFormat="1"/>
  </sheetData>
  <sortState xmlns:xlrd2="http://schemas.microsoft.com/office/spreadsheetml/2017/richdata2" ref="C4:D35">
    <sortCondition ref="C3:C35"/>
  </sortState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9"/>
  <dimension ref="A1:BF58"/>
  <sheetViews>
    <sheetView topLeftCell="A4" zoomScale="70" zoomScaleNormal="70" workbookViewId="0">
      <selection activeCell="R48" sqref="R48:BE48"/>
    </sheetView>
  </sheetViews>
  <sheetFormatPr defaultRowHeight="15"/>
  <cols>
    <col min="14" max="14" width="8.7109375" customWidth="1"/>
    <col min="16" max="16" width="5.5703125" customWidth="1"/>
  </cols>
  <sheetData>
    <row r="1" spans="1:58">
      <c r="Q1" s="33" t="s">
        <v>47</v>
      </c>
      <c r="R1" s="33"/>
      <c r="S1" s="33"/>
      <c r="T1" s="33"/>
      <c r="U1" s="33"/>
      <c r="V1" s="33"/>
      <c r="W1" s="33"/>
      <c r="X1" s="33"/>
      <c r="Y1" s="33"/>
      <c r="BF1" s="33" t="s">
        <v>48</v>
      </c>
    </row>
    <row r="2" spans="1:58" ht="16.350000000000001" customHeight="1">
      <c r="Q2" s="45">
        <v>0</v>
      </c>
      <c r="R2" s="45">
        <v>1</v>
      </c>
      <c r="S2" s="45">
        <v>2</v>
      </c>
      <c r="T2" s="45">
        <v>3</v>
      </c>
      <c r="U2" s="45">
        <v>4</v>
      </c>
      <c r="V2" s="45">
        <v>5</v>
      </c>
      <c r="W2" s="45">
        <v>6</v>
      </c>
      <c r="X2" s="45">
        <v>7</v>
      </c>
      <c r="Y2" s="45">
        <v>8</v>
      </c>
      <c r="Z2" s="45">
        <v>9</v>
      </c>
      <c r="AA2" s="45">
        <v>10</v>
      </c>
      <c r="AB2" s="45">
        <v>11</v>
      </c>
      <c r="AC2" s="45">
        <v>12</v>
      </c>
      <c r="AD2" s="45">
        <v>13</v>
      </c>
      <c r="AE2" s="45">
        <v>14</v>
      </c>
      <c r="AF2" s="45">
        <v>15</v>
      </c>
      <c r="AG2" s="45">
        <v>16</v>
      </c>
      <c r="AH2" s="45">
        <v>17</v>
      </c>
      <c r="AI2" s="45">
        <v>18</v>
      </c>
      <c r="AJ2" s="45">
        <v>19</v>
      </c>
      <c r="AK2" s="45">
        <v>20</v>
      </c>
      <c r="AL2" s="45">
        <v>21</v>
      </c>
      <c r="AM2" s="45">
        <v>22</v>
      </c>
      <c r="AN2" s="45">
        <v>23</v>
      </c>
      <c r="AO2" s="45">
        <v>24</v>
      </c>
      <c r="AP2" s="45">
        <v>25</v>
      </c>
      <c r="AQ2" s="45">
        <v>26</v>
      </c>
      <c r="AR2" s="45">
        <v>27</v>
      </c>
      <c r="AS2" s="45">
        <v>28</v>
      </c>
      <c r="AT2" s="45">
        <v>29</v>
      </c>
      <c r="AU2" s="45">
        <v>30</v>
      </c>
      <c r="AV2" s="45">
        <v>31</v>
      </c>
      <c r="AW2" s="45">
        <v>32</v>
      </c>
      <c r="AX2" s="45">
        <v>33</v>
      </c>
      <c r="AY2" s="45">
        <v>34</v>
      </c>
      <c r="AZ2" s="45">
        <v>35</v>
      </c>
      <c r="BA2" s="45">
        <v>36</v>
      </c>
      <c r="BB2" s="45">
        <v>37</v>
      </c>
      <c r="BC2" s="45">
        <v>38</v>
      </c>
      <c r="BD2" s="45">
        <v>39</v>
      </c>
      <c r="BE2" s="45">
        <v>40</v>
      </c>
      <c r="BF2" s="45">
        <v>41</v>
      </c>
    </row>
    <row r="3" spans="1:58">
      <c r="B3" s="30" t="s">
        <v>45</v>
      </c>
      <c r="C3" s="30">
        <f>'Map Template'!U7</f>
        <v>582642.91358000005</v>
      </c>
      <c r="D3" s="30">
        <f>'Map Template'!V7</f>
        <v>600914.80507</v>
      </c>
      <c r="O3" s="33" t="s">
        <v>47</v>
      </c>
      <c r="P3" s="45">
        <v>0</v>
      </c>
      <c r="Q3">
        <f>SQRT((($C3-$C$3)^2)+(($D3-$D$3)^2))</f>
        <v>0</v>
      </c>
      <c r="R3">
        <f t="shared" ref="R3:R44" si="0">SQRT((($C3-$C$4)^2)+(($D3-$D$4)^2))</f>
        <v>34.165678189088048</v>
      </c>
      <c r="S3">
        <f t="shared" ref="S3:S44" si="1">SQRT((($C3-$C$5)^2)+(($D3-$D$5)^2))</f>
        <v>41.620277823641914</v>
      </c>
      <c r="T3">
        <f t="shared" ref="T3:T44" si="2">SQRT((($C3-$C$6)^2)+(($D3-$D$6)^2))</f>
        <v>47.579274964186446</v>
      </c>
      <c r="U3">
        <f t="shared" ref="U3:U44" si="3">SQRT((($C3-$C$7)^2)+(($D3-$D$7)^2))</f>
        <v>14.341285371967924</v>
      </c>
      <c r="V3">
        <f t="shared" ref="V3:V44" si="4">SQRT((($C3-$C$8)^2)+(($D3-$D$8)^2))</f>
        <v>40.313253231670721</v>
      </c>
      <c r="W3">
        <f t="shared" ref="W3:W44" si="5">SQRT((($C3-$C$9)^2)+(($D3-$D$9)^2))</f>
        <v>50.108192604771375</v>
      </c>
      <c r="X3">
        <f t="shared" ref="X3:X44" si="6">SQRT((($C3-$C$10)^2)+(($D3-$D$10)^2))</f>
        <v>12.861381967768008</v>
      </c>
      <c r="Y3">
        <f t="shared" ref="Y3:Y44" si="7">SQRT((($C3-$C$11)^2)+(($D3-$D$11)^2))</f>
        <v>38.14961475712937</v>
      </c>
      <c r="Z3">
        <f t="shared" ref="Z3:Z44" si="8">SQRT((($C3-$C$12)^2)+(($D3-$D$12)^2))</f>
        <v>48.900277362366893</v>
      </c>
      <c r="AA3">
        <f t="shared" ref="AA3:AA44" si="9">SQRT((($C3-$C$13)^2)+(($D3-$D$13)^2))</f>
        <v>60.337672196701448</v>
      </c>
      <c r="AB3">
        <f t="shared" ref="AB3:AB44" si="10">SQRT((($C3-$C$14)^2)+(($D3-$D$14)^2))</f>
        <v>83.832132300886528</v>
      </c>
      <c r="AC3">
        <f t="shared" ref="AC3:AC44" si="11">SQRT((($C3-$C$15)^2)+(($D3-$D$15)^2))</f>
        <v>104.49890911445436</v>
      </c>
      <c r="AD3">
        <f t="shared" ref="AD3:AD44" si="12">SQRT((($C3-$C$16)^2)+(($D3-$D$16)^2))</f>
        <v>57.538042772720488</v>
      </c>
      <c r="AE3">
        <f t="shared" ref="AE3:AE44" si="13">SQRT((($C3-$C$17)^2)+(($D3-$D$17)^2))</f>
        <v>91.089089171602552</v>
      </c>
      <c r="AF3">
        <f t="shared" ref="AF3:AF44" si="14">SQRT((($C3-$C$18)^2)+(($D3-$D$18)^2))</f>
        <v>70.423101082773954</v>
      </c>
      <c r="AG3">
        <f t="shared" ref="AG3:AG44" si="15">SQRT((($C3-$C$19)^2)+(($D3-$D$19)^2))</f>
        <v>87.396365176779668</v>
      </c>
      <c r="AH3">
        <f t="shared" ref="AH3:AH44" si="16">SQRT((($C3-$C$20)^2)+(($D3-$D$20)^2))</f>
        <v>84.484808729810339</v>
      </c>
      <c r="AI3">
        <f t="shared" ref="AI3:AI44" si="17">SQRT((($C3-$C$21)^2)+(($D3-$D$21)^2))</f>
        <v>88.113762296886705</v>
      </c>
      <c r="AJ3">
        <f t="shared" ref="AJ3:AJ44" si="18">SQRT((($C3-$C$22)^2)+(($D3-$D$22)^2))</f>
        <v>93.385998233741176</v>
      </c>
      <c r="AK3">
        <f t="shared" ref="AK3:AK44" si="19">SQRT((($C3-$C$23)^2)+(($D3-$D$23)^2))</f>
        <v>58.340060216936259</v>
      </c>
      <c r="AL3">
        <f t="shared" ref="AL3:AL44" si="20">SQRT((($C3-$C$24)^2)+(($D3-$D$24)^2))</f>
        <v>125.52863372995283</v>
      </c>
      <c r="AM3">
        <f t="shared" ref="AM3:AM44" si="21">SQRT((($C3-$C$25)^2)+(($D3-$D$25)^2))</f>
        <v>133.12476391005407</v>
      </c>
      <c r="AN3">
        <f t="shared" ref="AN3:AN44" si="22">SQRT((($C3-$C$26)^2)+(($D3-$D$26)^2))</f>
        <v>143.08655277875212</v>
      </c>
      <c r="AO3">
        <f t="shared" ref="AO3:AO27" si="23">SQRT((($C3-$C$27)^2)+(($D3-$D$27)^2))</f>
        <v>131.09884738664888</v>
      </c>
      <c r="AP3">
        <f t="shared" ref="AP3:AP44" si="24">SQRT((($C3-$C$28)^2)+(($D3-$D$28)^2))</f>
        <v>144.64767072478745</v>
      </c>
      <c r="AQ3">
        <f t="shared" ref="AQ3:AQ44" si="25">SQRT((($C3-$C$29)^2)+(($D3-$D$29)^2))</f>
        <v>147.80062024939642</v>
      </c>
      <c r="AR3">
        <f t="shared" ref="AR3:AR44" si="26">SQRT((($C3-$C$30)^2)+(($D3-$D$30)^2))</f>
        <v>123.09222008765894</v>
      </c>
      <c r="AS3">
        <f t="shared" ref="AS3:AS44" si="27">SQRT((($C3-$C$31)^2)+(($D3-$D$31)^2))</f>
        <v>135.63985235212965</v>
      </c>
      <c r="AT3">
        <f t="shared" ref="AT3:AT44" si="28">SQRT((($C3-$C$32)^2)+(($D3-$D$32)^2))</f>
        <v>115.1205997470023</v>
      </c>
      <c r="AU3">
        <f t="shared" ref="AU3:AU44" si="29">SQRT((($C3-$C$33)^2)+(($D3-$D$33)^2))</f>
        <v>113.39766825693431</v>
      </c>
      <c r="AV3">
        <f t="shared" ref="AV3:AV44" si="30">SQRT((($C3-$C$34)^2)+(($D3-$D$34)^2))</f>
        <v>192.11298843675715</v>
      </c>
      <c r="AW3">
        <f t="shared" ref="AW3:AW44" si="31">SQRT((($C3-$C$35)^2)+(($D3-$D$35)^2))</f>
        <v>182.99322344311699</v>
      </c>
      <c r="AX3">
        <f>SQRT((($C3-$C$36)^2)+(($D3-$D$36)^2))</f>
        <v>187.87494289048243</v>
      </c>
      <c r="AY3">
        <f>SQRT((($C3-$C$37)^2)+(($D3-$D$37)^2))</f>
        <v>177.16260171408385</v>
      </c>
      <c r="AZ3">
        <f>SQRT((($C3-$C$38)^2)+(($D3-$D$38)^2))</f>
        <v>181.08820957230409</v>
      </c>
      <c r="BA3">
        <f>SQRT((($C3-$C$39)^2)+(($D3-$D$39)^2))</f>
        <v>171.94235884767821</v>
      </c>
      <c r="BB3">
        <f>SQRT((($C3-$C$40)^2)+(($D3-$D$40)^2))</f>
        <v>188.06307432907209</v>
      </c>
      <c r="BC3">
        <f>SQRT((($C3-$C$41)^2)+(($D3-$D$41)^2))</f>
        <v>202.12223951386594</v>
      </c>
      <c r="BD3">
        <f>SQRT((($C3-$C$42)^2)+(($D3-$D$42)^2))</f>
        <v>153.11211711065067</v>
      </c>
      <c r="BE3">
        <f>SQRT((($C3-$C$43)^2)+(($D3-$D$43)^2))</f>
        <v>198.81959487460227</v>
      </c>
      <c r="BF3">
        <f t="shared" ref="BF3:BF44" si="32">SQRT((($C3-$C$44)^2)+(($D3-$D$44)^2))</f>
        <v>202.42035766968698</v>
      </c>
    </row>
    <row r="4" spans="1:58">
      <c r="B4" s="45">
        <v>1</v>
      </c>
      <c r="C4">
        <f>Rand!P11</f>
        <v>582651</v>
      </c>
      <c r="D4">
        <f>Rand!Q11</f>
        <v>600948</v>
      </c>
      <c r="O4" s="33"/>
      <c r="P4" s="45">
        <v>1</v>
      </c>
      <c r="Q4">
        <f t="shared" ref="Q4:Q44" si="33">SQRT((($C4-$C$3)^2)+(($D4-$D$3)^2))</f>
        <v>34.165678189088048</v>
      </c>
      <c r="R4" s="13">
        <f t="shared" si="0"/>
        <v>0</v>
      </c>
      <c r="S4" s="13">
        <f t="shared" si="1"/>
        <v>38.832975677895199</v>
      </c>
      <c r="T4" s="13">
        <f t="shared" si="2"/>
        <v>26</v>
      </c>
      <c r="U4" s="13">
        <f t="shared" si="3"/>
        <v>23.086792761230392</v>
      </c>
      <c r="V4" s="13">
        <f t="shared" si="4"/>
        <v>8.6023252670426267</v>
      </c>
      <c r="W4" s="13">
        <f t="shared" si="5"/>
        <v>34.525353003264136</v>
      </c>
      <c r="X4" s="13">
        <f t="shared" si="6"/>
        <v>21.377558326431949</v>
      </c>
      <c r="Y4" s="13">
        <f t="shared" si="7"/>
        <v>43.139309220245984</v>
      </c>
      <c r="Z4">
        <f t="shared" si="8"/>
        <v>43.829214001622255</v>
      </c>
      <c r="AA4">
        <f t="shared" si="9"/>
        <v>36.878177829171548</v>
      </c>
      <c r="AB4">
        <f t="shared" si="10"/>
        <v>68.029405406779802</v>
      </c>
      <c r="AC4">
        <f t="shared" si="11"/>
        <v>91</v>
      </c>
      <c r="AD4">
        <f t="shared" si="12"/>
        <v>55.470712993434653</v>
      </c>
      <c r="AE4">
        <f t="shared" si="13"/>
        <v>80.622577482985491</v>
      </c>
      <c r="AF4">
        <f t="shared" si="14"/>
        <v>56.142675390472796</v>
      </c>
      <c r="AG4">
        <f t="shared" si="15"/>
        <v>71.112586790244109</v>
      </c>
      <c r="AH4">
        <f t="shared" si="16"/>
        <v>80.006249755878443</v>
      </c>
      <c r="AI4">
        <f t="shared" si="17"/>
        <v>85.796270315206598</v>
      </c>
      <c r="AJ4">
        <f t="shared" si="18"/>
        <v>78.057670987546118</v>
      </c>
      <c r="AK4">
        <f t="shared" si="19"/>
        <v>45.891175622335062</v>
      </c>
      <c r="AL4">
        <f t="shared" si="20"/>
        <v>114.0701538527936</v>
      </c>
      <c r="AM4">
        <f t="shared" si="21"/>
        <v>128.54960132182441</v>
      </c>
      <c r="AN4">
        <f t="shared" si="22"/>
        <v>138.97481786280562</v>
      </c>
      <c r="AO4">
        <f t="shared" si="23"/>
        <v>127.88275880665071</v>
      </c>
      <c r="AP4">
        <f t="shared" si="24"/>
        <v>135.53228397691819</v>
      </c>
      <c r="AQ4">
        <f t="shared" si="25"/>
        <v>137.09121051329294</v>
      </c>
      <c r="AR4">
        <f t="shared" si="26"/>
        <v>119.36917525056458</v>
      </c>
      <c r="AS4">
        <f t="shared" si="27"/>
        <v>125.19584657647394</v>
      </c>
      <c r="AT4">
        <f t="shared" si="28"/>
        <v>112.89375536317321</v>
      </c>
      <c r="AU4">
        <f t="shared" si="29"/>
        <v>105.22357150372724</v>
      </c>
      <c r="AV4">
        <f t="shared" si="30"/>
        <v>186.42961138188321</v>
      </c>
      <c r="AW4">
        <f t="shared" si="31"/>
        <v>174.64535493393461</v>
      </c>
      <c r="AX4">
        <f t="shared" ref="AX4:AX44" si="34">SQRT((($C4-$C$36)^2)+(($D4-$D$36)^2))</f>
        <v>179.71366113904642</v>
      </c>
      <c r="AY4">
        <f t="shared" ref="AY4:AY44" si="35">SQRT((($C4-$C$37)^2)+(($D4-$D$37)^2))</f>
        <v>171.30382365843442</v>
      </c>
      <c r="AZ4">
        <f t="shared" ref="AZ4:AZ44" si="36">SQRT((($C4-$C$38)^2)+(($D4-$D$38)^2))</f>
        <v>176.30938715791623</v>
      </c>
      <c r="BA4">
        <f t="shared" ref="BA4:BA44" si="37">SQRT((($C4-$C$39)^2)+(($D4-$D$39)^2))</f>
        <v>162.19741058352318</v>
      </c>
      <c r="BB4">
        <f t="shared" ref="BB4:BB44" si="38">SQRT((($C4-$C$40)^2)+(($D4-$D$40)^2))</f>
        <v>178.10109488714548</v>
      </c>
      <c r="BC4">
        <f t="shared" ref="BC4:BC44" si="39">SQRT((($C4-$C$41)^2)+(($D4-$D$41)^2))</f>
        <v>197.49683541768459</v>
      </c>
      <c r="BD4">
        <f t="shared" ref="BD4:BD44" si="40">SQRT((($C4-$C$42)^2)+(($D4-$D$42)^2))</f>
        <v>149.40214188558343</v>
      </c>
      <c r="BE4">
        <f t="shared" ref="BE4:BE44" si="41">SQRT((($C4-$C$43)^2)+(($D4-$D$43)^2))</f>
        <v>189.12958520548815</v>
      </c>
      <c r="BF4">
        <f t="shared" si="32"/>
        <v>198.92688587949434</v>
      </c>
    </row>
    <row r="5" spans="1:58">
      <c r="B5" s="45">
        <v>2</v>
      </c>
      <c r="C5">
        <f>Rand!P5</f>
        <v>582683</v>
      </c>
      <c r="D5">
        <f>Rand!Q5</f>
        <v>600926</v>
      </c>
      <c r="O5" s="33"/>
      <c r="P5" s="45">
        <v>2</v>
      </c>
      <c r="Q5">
        <f t="shared" si="33"/>
        <v>41.620277823641914</v>
      </c>
      <c r="R5" s="13">
        <f t="shared" si="0"/>
        <v>38.832975677895199</v>
      </c>
      <c r="S5" s="13">
        <f t="shared" si="1"/>
        <v>0</v>
      </c>
      <c r="T5" s="13">
        <f t="shared" si="2"/>
        <v>22.803508501982758</v>
      </c>
      <c r="U5" s="13">
        <f t="shared" si="3"/>
        <v>30.016662039607269</v>
      </c>
      <c r="V5" s="13">
        <f t="shared" si="4"/>
        <v>47.010637094172637</v>
      </c>
      <c r="W5" s="13">
        <f t="shared" si="5"/>
        <v>16.124515496597098</v>
      </c>
      <c r="X5" s="13">
        <f t="shared" si="6"/>
        <v>36.013886210738214</v>
      </c>
      <c r="Y5" s="13">
        <f t="shared" si="7"/>
        <v>9.2195444572928871</v>
      </c>
      <c r="Z5">
        <f t="shared" si="8"/>
        <v>7.2801098892805181</v>
      </c>
      <c r="AA5">
        <f t="shared" si="9"/>
        <v>30.265491900843113</v>
      </c>
      <c r="AB5">
        <f t="shared" si="10"/>
        <v>43.266615305567875</v>
      </c>
      <c r="AC5">
        <f t="shared" si="11"/>
        <v>62.968245965724662</v>
      </c>
      <c r="AD5">
        <f t="shared" si="12"/>
        <v>17.464249196572979</v>
      </c>
      <c r="AE5">
        <f t="shared" si="13"/>
        <v>49.477267507411923</v>
      </c>
      <c r="AF5">
        <f t="shared" si="14"/>
        <v>30</v>
      </c>
      <c r="AG5">
        <f t="shared" si="15"/>
        <v>46.872166581031863</v>
      </c>
      <c r="AH5">
        <f t="shared" si="16"/>
        <v>44.10215414239989</v>
      </c>
      <c r="AI5">
        <f t="shared" si="17"/>
        <v>48.836461788299118</v>
      </c>
      <c r="AJ5">
        <f t="shared" si="18"/>
        <v>52.354560450833695</v>
      </c>
      <c r="AK5">
        <f t="shared" si="19"/>
        <v>18.384776310850235</v>
      </c>
      <c r="AL5">
        <f t="shared" si="20"/>
        <v>83.952367447261423</v>
      </c>
      <c r="AM5">
        <f t="shared" si="21"/>
        <v>93.343451832466528</v>
      </c>
      <c r="AN5">
        <f t="shared" si="22"/>
        <v>103.58571330062848</v>
      </c>
      <c r="AO5">
        <f t="shared" si="23"/>
        <v>91.923881554251182</v>
      </c>
      <c r="AP5">
        <f t="shared" si="24"/>
        <v>103.4842983258813</v>
      </c>
      <c r="AQ5">
        <f t="shared" si="25"/>
        <v>106.36728820459794</v>
      </c>
      <c r="AR5">
        <f t="shared" si="26"/>
        <v>83.600239234107462</v>
      </c>
      <c r="AS5">
        <f t="shared" si="27"/>
        <v>94.201910808645493</v>
      </c>
      <c r="AT5">
        <f t="shared" si="28"/>
        <v>76.295478240849903</v>
      </c>
      <c r="AU5">
        <f t="shared" si="29"/>
        <v>72.249567472753768</v>
      </c>
      <c r="AV5">
        <f t="shared" si="30"/>
        <v>152.21038072352357</v>
      </c>
      <c r="AW5">
        <f t="shared" si="31"/>
        <v>142.1724305201258</v>
      </c>
      <c r="AX5">
        <f t="shared" si="34"/>
        <v>147.12239802287073</v>
      </c>
      <c r="AY5">
        <f t="shared" si="35"/>
        <v>137.13132391981054</v>
      </c>
      <c r="AZ5">
        <f t="shared" si="36"/>
        <v>141.50971698084905</v>
      </c>
      <c r="BA5">
        <f t="shared" si="37"/>
        <v>130.75167302944922</v>
      </c>
      <c r="BB5">
        <f t="shared" si="38"/>
        <v>146.87409574189726</v>
      </c>
      <c r="BC5">
        <f t="shared" si="39"/>
        <v>162.69296235547498</v>
      </c>
      <c r="BD5">
        <f t="shared" si="40"/>
        <v>113.86395390991831</v>
      </c>
      <c r="BE5">
        <f t="shared" si="41"/>
        <v>157.71493271088823</v>
      </c>
      <c r="BF5">
        <f t="shared" si="32"/>
        <v>163.51052114685481</v>
      </c>
    </row>
    <row r="6" spans="1:58">
      <c r="B6" s="45">
        <v>3</v>
      </c>
      <c r="C6">
        <f>Rand!P4</f>
        <v>582677</v>
      </c>
      <c r="D6">
        <f>Rand!Q4</f>
        <v>600948</v>
      </c>
      <c r="O6" s="33"/>
      <c r="P6" s="45">
        <v>3</v>
      </c>
      <c r="Q6">
        <f t="shared" si="33"/>
        <v>47.579274964186446</v>
      </c>
      <c r="R6" s="13">
        <f t="shared" si="0"/>
        <v>26</v>
      </c>
      <c r="S6" s="13">
        <f t="shared" si="1"/>
        <v>22.803508501982758</v>
      </c>
      <c r="T6" s="13">
        <f t="shared" si="2"/>
        <v>0</v>
      </c>
      <c r="U6" s="13">
        <f t="shared" si="3"/>
        <v>33.241540277189323</v>
      </c>
      <c r="V6" s="13">
        <f t="shared" si="4"/>
        <v>31.780497164141408</v>
      </c>
      <c r="W6" s="13">
        <f t="shared" si="5"/>
        <v>10</v>
      </c>
      <c r="X6" s="13">
        <f t="shared" si="6"/>
        <v>36.61966684720111</v>
      </c>
      <c r="Y6" s="13">
        <f t="shared" si="7"/>
        <v>31.256999216175569</v>
      </c>
      <c r="Z6">
        <f t="shared" si="8"/>
        <v>23.853720883753127</v>
      </c>
      <c r="AA6">
        <f t="shared" si="9"/>
        <v>12.806248474865697</v>
      </c>
      <c r="AB6">
        <f t="shared" si="10"/>
        <v>42.047592083257278</v>
      </c>
      <c r="AC6">
        <f t="shared" si="11"/>
        <v>65</v>
      </c>
      <c r="AD6">
        <f t="shared" si="12"/>
        <v>34.713109915419565</v>
      </c>
      <c r="AE6">
        <f t="shared" si="13"/>
        <v>54.918120870983927</v>
      </c>
      <c r="AF6">
        <f t="shared" si="14"/>
        <v>30.265491900843113</v>
      </c>
      <c r="AG6">
        <f t="shared" si="15"/>
        <v>45.177427992306072</v>
      </c>
      <c r="AH6">
        <f t="shared" si="16"/>
        <v>55.901699437494742</v>
      </c>
      <c r="AI6">
        <f t="shared" si="17"/>
        <v>62.265560304232388</v>
      </c>
      <c r="AJ6">
        <f t="shared" si="18"/>
        <v>52.086466572421671</v>
      </c>
      <c r="AK6">
        <f t="shared" si="19"/>
        <v>21.023796041628639</v>
      </c>
      <c r="AL6">
        <f t="shared" si="20"/>
        <v>88.090862182180956</v>
      </c>
      <c r="AM6">
        <f t="shared" si="21"/>
        <v>103.4456378974</v>
      </c>
      <c r="AN6">
        <f t="shared" si="22"/>
        <v>113.88590782006349</v>
      </c>
      <c r="AO6">
        <f t="shared" si="23"/>
        <v>103.12128781197411</v>
      </c>
      <c r="AP6">
        <f t="shared" si="24"/>
        <v>109.65856099730654</v>
      </c>
      <c r="AQ6">
        <f t="shared" si="25"/>
        <v>111.11255554616679</v>
      </c>
      <c r="AR6">
        <f t="shared" si="26"/>
        <v>94.578010129204984</v>
      </c>
      <c r="AS6">
        <f t="shared" si="27"/>
        <v>99.247166206396045</v>
      </c>
      <c r="AT6">
        <f t="shared" si="28"/>
        <v>88.639720216164946</v>
      </c>
      <c r="AU6">
        <f t="shared" si="29"/>
        <v>79.624116949577527</v>
      </c>
      <c r="AV6">
        <f t="shared" si="30"/>
        <v>160.822883943797</v>
      </c>
      <c r="AW6">
        <f t="shared" si="31"/>
        <v>148.75819305167698</v>
      </c>
      <c r="AX6">
        <f t="shared" si="34"/>
        <v>153.83432646844463</v>
      </c>
      <c r="AY6">
        <f t="shared" si="35"/>
        <v>145.71547618561317</v>
      </c>
      <c r="AZ6">
        <f t="shared" si="36"/>
        <v>150.88074761214565</v>
      </c>
      <c r="BA6">
        <f t="shared" si="37"/>
        <v>136.23509092741122</v>
      </c>
      <c r="BB6">
        <f t="shared" si="38"/>
        <v>152.11837495845134</v>
      </c>
      <c r="BC6">
        <f t="shared" si="39"/>
        <v>172.02616080119907</v>
      </c>
      <c r="BD6">
        <f t="shared" si="40"/>
        <v>124.32618388738553</v>
      </c>
      <c r="BE6">
        <f t="shared" si="41"/>
        <v>163.1502375113196</v>
      </c>
      <c r="BF6">
        <f t="shared" si="32"/>
        <v>173.65720671977525</v>
      </c>
    </row>
    <row r="7" spans="1:58">
      <c r="B7" s="45">
        <v>4</v>
      </c>
      <c r="C7">
        <f>Rand!P6</f>
        <v>582653</v>
      </c>
      <c r="D7">
        <f>Rand!Q6</f>
        <v>600925</v>
      </c>
      <c r="O7" s="33"/>
      <c r="P7" s="45">
        <v>4</v>
      </c>
      <c r="Q7">
        <f t="shared" si="33"/>
        <v>14.341285371967924</v>
      </c>
      <c r="R7" s="13">
        <f t="shared" si="0"/>
        <v>23.086792761230392</v>
      </c>
      <c r="S7" s="13">
        <f t="shared" si="1"/>
        <v>30.016662039607269</v>
      </c>
      <c r="T7" s="13">
        <f t="shared" si="2"/>
        <v>33.241540277189323</v>
      </c>
      <c r="U7" s="13">
        <f t="shared" si="3"/>
        <v>0</v>
      </c>
      <c r="V7" s="13">
        <f t="shared" si="4"/>
        <v>30.805843601498726</v>
      </c>
      <c r="W7" s="13">
        <f t="shared" si="5"/>
        <v>36.235341863986875</v>
      </c>
      <c r="X7" s="13">
        <f t="shared" si="6"/>
        <v>6.324555320336759</v>
      </c>
      <c r="Y7" s="13">
        <f t="shared" si="7"/>
        <v>29.120439557122072</v>
      </c>
      <c r="Z7">
        <f t="shared" si="8"/>
        <v>37.12142238654117</v>
      </c>
      <c r="AA7">
        <f t="shared" si="9"/>
        <v>46.010868281309364</v>
      </c>
      <c r="AB7">
        <f t="shared" si="10"/>
        <v>70.576199954375554</v>
      </c>
      <c r="AC7">
        <f t="shared" si="11"/>
        <v>91.923881554251182</v>
      </c>
      <c r="AD7">
        <f t="shared" si="12"/>
        <v>47.095647357266465</v>
      </c>
      <c r="AE7">
        <f t="shared" si="13"/>
        <v>79.075912893876861</v>
      </c>
      <c r="AF7">
        <f t="shared" si="14"/>
        <v>57.245087125446844</v>
      </c>
      <c r="AG7">
        <f t="shared" si="15"/>
        <v>74.094534211370814</v>
      </c>
      <c r="AH7">
        <f t="shared" si="16"/>
        <v>74.027022093286988</v>
      </c>
      <c r="AI7">
        <f t="shared" si="17"/>
        <v>78.409183135650636</v>
      </c>
      <c r="AJ7">
        <f t="shared" si="18"/>
        <v>80.324342512092812</v>
      </c>
      <c r="AK7">
        <f t="shared" si="19"/>
        <v>45.221676218380054</v>
      </c>
      <c r="AL7">
        <f t="shared" si="20"/>
        <v>113.6001760562016</v>
      </c>
      <c r="AM7">
        <f t="shared" si="21"/>
        <v>123.1990259701756</v>
      </c>
      <c r="AN7">
        <f t="shared" si="22"/>
        <v>133.37541002748594</v>
      </c>
      <c r="AO7">
        <f t="shared" si="23"/>
        <v>121.59358535712317</v>
      </c>
      <c r="AP7">
        <f t="shared" si="24"/>
        <v>133.45411196362591</v>
      </c>
      <c r="AQ7">
        <f t="shared" si="25"/>
        <v>136.194713553794</v>
      </c>
      <c r="AR7">
        <f t="shared" si="26"/>
        <v>113.35784048754634</v>
      </c>
      <c r="AS7">
        <f t="shared" si="27"/>
        <v>124.03628501370073</v>
      </c>
      <c r="AT7">
        <f t="shared" si="28"/>
        <v>105.80170130957252</v>
      </c>
      <c r="AU7">
        <f t="shared" si="29"/>
        <v>102.23991392797629</v>
      </c>
      <c r="AV7">
        <f t="shared" si="30"/>
        <v>182.13456563760764</v>
      </c>
      <c r="AW7">
        <f t="shared" si="31"/>
        <v>172.18594600024707</v>
      </c>
      <c r="AX7">
        <f t="shared" si="34"/>
        <v>177.13836399831629</v>
      </c>
      <c r="AY7">
        <f t="shared" si="35"/>
        <v>167.0748335327616</v>
      </c>
      <c r="AZ7">
        <f t="shared" si="36"/>
        <v>171.35343591536179</v>
      </c>
      <c r="BA7">
        <f t="shared" si="37"/>
        <v>160.70158679988197</v>
      </c>
      <c r="BB7">
        <f t="shared" si="38"/>
        <v>176.81911661356077</v>
      </c>
      <c r="BC7">
        <f t="shared" si="39"/>
        <v>192.50974001333023</v>
      </c>
      <c r="BD7">
        <f t="shared" si="40"/>
        <v>143.58969322343438</v>
      </c>
      <c r="BE7">
        <f t="shared" si="41"/>
        <v>187.68324379123459</v>
      </c>
      <c r="BF7">
        <f t="shared" si="32"/>
        <v>193.17549302567986</v>
      </c>
    </row>
    <row r="8" spans="1:58">
      <c r="B8" s="45">
        <v>5</v>
      </c>
      <c r="C8">
        <f>Rand!P3</f>
        <v>582646</v>
      </c>
      <c r="D8">
        <f>Rand!Q3</f>
        <v>600955</v>
      </c>
      <c r="O8" s="33"/>
      <c r="P8" s="45">
        <v>5</v>
      </c>
      <c r="Q8">
        <f t="shared" si="33"/>
        <v>40.313253231670721</v>
      </c>
      <c r="R8" s="13">
        <f t="shared" si="0"/>
        <v>8.6023252670426267</v>
      </c>
      <c r="S8" s="13">
        <f t="shared" si="1"/>
        <v>47.010637094172637</v>
      </c>
      <c r="T8" s="13">
        <f t="shared" si="2"/>
        <v>31.780497164141408</v>
      </c>
      <c r="U8" s="13">
        <f t="shared" si="3"/>
        <v>30.805843601498726</v>
      </c>
      <c r="V8" s="13">
        <f t="shared" si="4"/>
        <v>0</v>
      </c>
      <c r="W8" s="13">
        <f t="shared" si="5"/>
        <v>41.109609582188931</v>
      </c>
      <c r="X8" s="13">
        <f t="shared" si="6"/>
        <v>28.0178514522438</v>
      </c>
      <c r="Y8" s="13">
        <f t="shared" si="7"/>
        <v>51.662365412357957</v>
      </c>
      <c r="Z8">
        <f t="shared" si="8"/>
        <v>51.623637996561229</v>
      </c>
      <c r="AA8">
        <f t="shared" si="9"/>
        <v>41.012193308819754</v>
      </c>
      <c r="AB8">
        <f t="shared" si="10"/>
        <v>73.17103251970687</v>
      </c>
      <c r="AC8">
        <f t="shared" si="11"/>
        <v>96.254870006665115</v>
      </c>
      <c r="AD8">
        <f t="shared" si="12"/>
        <v>63.28506932918696</v>
      </c>
      <c r="AE8">
        <f t="shared" si="13"/>
        <v>86.683331731077345</v>
      </c>
      <c r="AF8">
        <f t="shared" si="14"/>
        <v>61.98386886924694</v>
      </c>
      <c r="AG8">
        <f t="shared" si="15"/>
        <v>76.05918747922567</v>
      </c>
      <c r="AH8">
        <f t="shared" si="16"/>
        <v>87.091905479212016</v>
      </c>
      <c r="AI8">
        <f t="shared" si="17"/>
        <v>93.107464792034804</v>
      </c>
      <c r="AJ8">
        <f t="shared" si="18"/>
        <v>83.096329642168911</v>
      </c>
      <c r="AK8">
        <f t="shared" si="19"/>
        <v>52.497618993626752</v>
      </c>
      <c r="AL8">
        <f t="shared" si="20"/>
        <v>119.50732195141852</v>
      </c>
      <c r="AM8">
        <f t="shared" si="21"/>
        <v>135.16286472252651</v>
      </c>
      <c r="AN8">
        <f t="shared" si="22"/>
        <v>145.60219778561037</v>
      </c>
      <c r="AO8">
        <f t="shared" si="23"/>
        <v>134.71451295239129</v>
      </c>
      <c r="AP8">
        <f t="shared" si="24"/>
        <v>141.2834031300209</v>
      </c>
      <c r="AQ8">
        <f t="shared" si="25"/>
        <v>142.50614021858848</v>
      </c>
      <c r="AR8">
        <f t="shared" si="26"/>
        <v>126.17844506887855</v>
      </c>
      <c r="AS8">
        <f t="shared" si="27"/>
        <v>130.75167302944922</v>
      </c>
      <c r="AT8">
        <f t="shared" si="28"/>
        <v>119.97082978791136</v>
      </c>
      <c r="AU8">
        <f t="shared" si="29"/>
        <v>111.40017953306898</v>
      </c>
      <c r="AV8">
        <f t="shared" si="30"/>
        <v>192.58764238652489</v>
      </c>
      <c r="AW8">
        <f t="shared" si="31"/>
        <v>180.34688796871433</v>
      </c>
      <c r="AX8">
        <f t="shared" si="34"/>
        <v>185.43192821086663</v>
      </c>
      <c r="AY8">
        <f t="shared" si="35"/>
        <v>177.48521065147935</v>
      </c>
      <c r="AZ8">
        <f t="shared" si="36"/>
        <v>182.6608879864543</v>
      </c>
      <c r="BA8">
        <f t="shared" si="37"/>
        <v>167.67229944149989</v>
      </c>
      <c r="BB8">
        <f t="shared" si="38"/>
        <v>183.46116755324545</v>
      </c>
      <c r="BC8">
        <f t="shared" si="39"/>
        <v>203.80628057054571</v>
      </c>
      <c r="BD8">
        <f t="shared" si="40"/>
        <v>156.04166110369371</v>
      </c>
      <c r="BE8">
        <f t="shared" si="41"/>
        <v>194.50449866262733</v>
      </c>
      <c r="BF8">
        <f t="shared" si="32"/>
        <v>205.42350173656564</v>
      </c>
    </row>
    <row r="9" spans="1:58">
      <c r="B9" s="45">
        <v>6</v>
      </c>
      <c r="C9">
        <f>Rand!P10</f>
        <v>582685</v>
      </c>
      <c r="D9">
        <f>Rand!Q10</f>
        <v>600942</v>
      </c>
      <c r="O9" s="33"/>
      <c r="P9" s="45">
        <v>6</v>
      </c>
      <c r="Q9">
        <f t="shared" si="33"/>
        <v>50.108192604771375</v>
      </c>
      <c r="R9" s="13">
        <f t="shared" si="0"/>
        <v>34.525353003264136</v>
      </c>
      <c r="S9" s="13">
        <f t="shared" si="1"/>
        <v>16.124515496597098</v>
      </c>
      <c r="T9" s="13">
        <f t="shared" si="2"/>
        <v>10</v>
      </c>
      <c r="U9" s="13">
        <f t="shared" si="3"/>
        <v>36.235341863986875</v>
      </c>
      <c r="V9" s="13">
        <f t="shared" si="4"/>
        <v>41.109609582188931</v>
      </c>
      <c r="W9" s="13">
        <f t="shared" si="5"/>
        <v>0</v>
      </c>
      <c r="X9" s="13">
        <f t="shared" si="6"/>
        <v>40.853396431630991</v>
      </c>
      <c r="Y9" s="13">
        <f t="shared" si="7"/>
        <v>25.317977802344327</v>
      </c>
      <c r="Z9">
        <f t="shared" si="8"/>
        <v>14.866068747318506</v>
      </c>
      <c r="AA9">
        <f t="shared" si="9"/>
        <v>14.142135623730951</v>
      </c>
      <c r="AB9">
        <f t="shared" si="10"/>
        <v>34.928498393145958</v>
      </c>
      <c r="AC9">
        <f t="shared" si="11"/>
        <v>57.314919523628397</v>
      </c>
      <c r="AD9">
        <f t="shared" si="12"/>
        <v>25</v>
      </c>
      <c r="AE9">
        <f t="shared" si="13"/>
        <v>46.173585522460783</v>
      </c>
      <c r="AF9">
        <f t="shared" si="14"/>
        <v>22.090722034374522</v>
      </c>
      <c r="AG9">
        <f t="shared" si="15"/>
        <v>38.327535793473601</v>
      </c>
      <c r="AH9">
        <f t="shared" si="16"/>
        <v>46.097722286464439</v>
      </c>
      <c r="AI9">
        <f t="shared" si="17"/>
        <v>52.354560450833695</v>
      </c>
      <c r="AJ9">
        <f t="shared" si="18"/>
        <v>44.911023145771239</v>
      </c>
      <c r="AK9">
        <f t="shared" si="19"/>
        <v>11.401754250991379</v>
      </c>
      <c r="AL9">
        <f t="shared" si="20"/>
        <v>80.02499609497022</v>
      </c>
      <c r="AM9">
        <f t="shared" si="21"/>
        <v>94.111635837445732</v>
      </c>
      <c r="AN9">
        <f t="shared" si="22"/>
        <v>104.54664030948101</v>
      </c>
      <c r="AO9">
        <f t="shared" si="23"/>
        <v>93.605555390692487</v>
      </c>
      <c r="AP9">
        <f t="shared" si="24"/>
        <v>101.17806086301516</v>
      </c>
      <c r="AQ9">
        <f t="shared" si="25"/>
        <v>103.00485425454472</v>
      </c>
      <c r="AR9">
        <f t="shared" si="26"/>
        <v>85.07055894961546</v>
      </c>
      <c r="AS9">
        <f t="shared" si="27"/>
        <v>91.005494339627646</v>
      </c>
      <c r="AT9">
        <f t="shared" si="28"/>
        <v>78.924014089502563</v>
      </c>
      <c r="AU9">
        <f t="shared" si="29"/>
        <v>70.710678118654755</v>
      </c>
      <c r="AV9">
        <f t="shared" si="30"/>
        <v>151.90786681406595</v>
      </c>
      <c r="AW9">
        <f t="shared" si="31"/>
        <v>140.28898745090436</v>
      </c>
      <c r="AX9">
        <f t="shared" si="34"/>
        <v>145.34441853748632</v>
      </c>
      <c r="AY9">
        <f t="shared" si="35"/>
        <v>136.78084661238211</v>
      </c>
      <c r="AZ9">
        <f t="shared" si="36"/>
        <v>141.79210133149166</v>
      </c>
      <c r="BA9">
        <f t="shared" si="37"/>
        <v>128.01562404644207</v>
      </c>
      <c r="BB9">
        <f t="shared" si="38"/>
        <v>144</v>
      </c>
      <c r="BC9">
        <f t="shared" si="39"/>
        <v>162.97545827516484</v>
      </c>
      <c r="BD9">
        <f t="shared" si="40"/>
        <v>114.9826073804208</v>
      </c>
      <c r="BE9">
        <f t="shared" si="41"/>
        <v>155.00322577288512</v>
      </c>
      <c r="BF9">
        <f t="shared" si="32"/>
        <v>164.44766549183799</v>
      </c>
    </row>
    <row r="10" spans="1:58">
      <c r="B10" s="45">
        <v>7</v>
      </c>
      <c r="C10">
        <f>Rand!P7</f>
        <v>582647</v>
      </c>
      <c r="D10">
        <f>Rand!Q7</f>
        <v>600927</v>
      </c>
      <c r="O10" s="33"/>
      <c r="P10" s="45">
        <v>7</v>
      </c>
      <c r="Q10">
        <f>SQRT((($C10-$C$3)^2)+(($D10-$D$3)^2))</f>
        <v>12.861381967768008</v>
      </c>
      <c r="R10" s="13">
        <f t="shared" si="0"/>
        <v>21.377558326431949</v>
      </c>
      <c r="S10" s="13">
        <f t="shared" si="1"/>
        <v>36.013886210738214</v>
      </c>
      <c r="T10" s="13">
        <f t="shared" si="2"/>
        <v>36.61966684720111</v>
      </c>
      <c r="U10" s="13">
        <f t="shared" si="3"/>
        <v>6.324555320336759</v>
      </c>
      <c r="V10" s="13">
        <f t="shared" si="4"/>
        <v>28.0178514522438</v>
      </c>
      <c r="W10" s="13">
        <f t="shared" si="5"/>
        <v>40.853396431630991</v>
      </c>
      <c r="X10" s="13">
        <f t="shared" si="6"/>
        <v>0</v>
      </c>
      <c r="Y10" s="13">
        <f t="shared" si="7"/>
        <v>35.440090293338699</v>
      </c>
      <c r="Z10">
        <f t="shared" si="8"/>
        <v>43.011626335213137</v>
      </c>
      <c r="AA10">
        <f t="shared" si="9"/>
        <v>49.406477308142499</v>
      </c>
      <c r="AB10">
        <f t="shared" si="10"/>
        <v>75.584389922787622</v>
      </c>
      <c r="AC10">
        <f t="shared" si="11"/>
        <v>97.293370791642332</v>
      </c>
      <c r="AD10">
        <f t="shared" si="12"/>
        <v>53.235326616824658</v>
      </c>
      <c r="AE10">
        <f t="shared" si="13"/>
        <v>84.717176534631989</v>
      </c>
      <c r="AF10">
        <f t="shared" si="14"/>
        <v>62.361847310675458</v>
      </c>
      <c r="AG10">
        <f t="shared" si="15"/>
        <v>79.05694150420949</v>
      </c>
      <c r="AH10">
        <f t="shared" si="16"/>
        <v>80.09993757800315</v>
      </c>
      <c r="AI10">
        <f t="shared" si="17"/>
        <v>84.593143930226404</v>
      </c>
      <c r="AJ10">
        <f t="shared" si="18"/>
        <v>85.440037453175307</v>
      </c>
      <c r="AK10">
        <f t="shared" si="19"/>
        <v>50.447993022517757</v>
      </c>
      <c r="AL10">
        <f t="shared" si="20"/>
        <v>119.21828718783037</v>
      </c>
      <c r="AM10">
        <f t="shared" si="21"/>
        <v>129.31357237351384</v>
      </c>
      <c r="AN10">
        <f t="shared" si="22"/>
        <v>139.51702405083043</v>
      </c>
      <c r="AO10">
        <f t="shared" si="23"/>
        <v>127.76932339180638</v>
      </c>
      <c r="AP10">
        <f t="shared" si="24"/>
        <v>139.29106216839614</v>
      </c>
      <c r="AQ10">
        <f t="shared" si="25"/>
        <v>141.90489773083945</v>
      </c>
      <c r="AR10">
        <f t="shared" si="26"/>
        <v>119.50732195141852</v>
      </c>
      <c r="AS10">
        <f t="shared" si="27"/>
        <v>129.75746606650424</v>
      </c>
      <c r="AT10">
        <f t="shared" si="28"/>
        <v>112.00892821556681</v>
      </c>
      <c r="AU10">
        <f t="shared" si="29"/>
        <v>108.11567878897121</v>
      </c>
      <c r="AV10">
        <f t="shared" si="30"/>
        <v>188.21530224718711</v>
      </c>
      <c r="AW10">
        <f t="shared" si="31"/>
        <v>178.10109488714548</v>
      </c>
      <c r="AX10">
        <f t="shared" si="34"/>
        <v>183.06829326784035</v>
      </c>
      <c r="AY10">
        <f t="shared" si="35"/>
        <v>173.1415605797753</v>
      </c>
      <c r="AZ10">
        <f t="shared" si="36"/>
        <v>177.47675904185314</v>
      </c>
      <c r="BA10">
        <f t="shared" si="37"/>
        <v>166.50825805346713</v>
      </c>
      <c r="BB10">
        <f t="shared" si="38"/>
        <v>182.61708572858126</v>
      </c>
      <c r="BC10">
        <f t="shared" si="39"/>
        <v>198.64541273334251</v>
      </c>
      <c r="BD10">
        <f t="shared" si="40"/>
        <v>149.75313018431368</v>
      </c>
      <c r="BE10">
        <f t="shared" si="41"/>
        <v>193.50710581268069</v>
      </c>
      <c r="BF10">
        <f t="shared" si="32"/>
        <v>199.3600502249989</v>
      </c>
    </row>
    <row r="11" spans="1:58">
      <c r="B11" s="45">
        <v>8</v>
      </c>
      <c r="C11">
        <f>Rand!P8</f>
        <v>582681</v>
      </c>
      <c r="D11">
        <f>Rand!Q8</f>
        <v>600917</v>
      </c>
      <c r="O11" s="33"/>
      <c r="P11" s="45">
        <v>8</v>
      </c>
      <c r="Q11">
        <f t="shared" si="33"/>
        <v>38.14961475712937</v>
      </c>
      <c r="R11" s="13">
        <f t="shared" si="0"/>
        <v>43.139309220245984</v>
      </c>
      <c r="S11" s="13">
        <f t="shared" si="1"/>
        <v>9.2195444572928871</v>
      </c>
      <c r="T11" s="13">
        <f t="shared" si="2"/>
        <v>31.256999216175569</v>
      </c>
      <c r="U11" s="13">
        <f t="shared" si="3"/>
        <v>29.120439557122072</v>
      </c>
      <c r="V11" s="13">
        <f t="shared" si="4"/>
        <v>51.662365412357957</v>
      </c>
      <c r="W11" s="13">
        <f t="shared" si="5"/>
        <v>25.317977802344327</v>
      </c>
      <c r="X11" s="13">
        <f t="shared" si="6"/>
        <v>35.440090293338699</v>
      </c>
      <c r="Y11" s="13">
        <f t="shared" si="7"/>
        <v>0</v>
      </c>
      <c r="Z11">
        <f t="shared" si="8"/>
        <v>14.212670403551895</v>
      </c>
      <c r="AA11">
        <f t="shared" si="9"/>
        <v>39.45883931389772</v>
      </c>
      <c r="AB11">
        <f t="shared" si="10"/>
        <v>50.328918128646478</v>
      </c>
      <c r="AC11">
        <f t="shared" si="11"/>
        <v>68.425141578224014</v>
      </c>
      <c r="AD11">
        <f t="shared" si="12"/>
        <v>19.646882704388499</v>
      </c>
      <c r="AE11">
        <f t="shared" si="13"/>
        <v>54.230987451824994</v>
      </c>
      <c r="AF11">
        <f t="shared" si="14"/>
        <v>37.483329627982627</v>
      </c>
      <c r="AG11">
        <f t="shared" si="15"/>
        <v>53.907327887774215</v>
      </c>
      <c r="AH11">
        <f t="shared" si="16"/>
        <v>46.389654018972806</v>
      </c>
      <c r="AI11">
        <f t="shared" si="17"/>
        <v>50</v>
      </c>
      <c r="AJ11">
        <f t="shared" si="18"/>
        <v>58.821764679410968</v>
      </c>
      <c r="AK11">
        <f t="shared" si="19"/>
        <v>26.627053911388696</v>
      </c>
      <c r="AL11">
        <f t="shared" si="20"/>
        <v>88.232647019116456</v>
      </c>
      <c r="AM11">
        <f t="shared" si="21"/>
        <v>95.005263012108969</v>
      </c>
      <c r="AN11">
        <f t="shared" si="22"/>
        <v>105.01904589168576</v>
      </c>
      <c r="AO11">
        <f t="shared" si="23"/>
        <v>93.085981758801893</v>
      </c>
      <c r="AP11">
        <f t="shared" si="24"/>
        <v>106.70520137275409</v>
      </c>
      <c r="AQ11">
        <f t="shared" si="25"/>
        <v>110.11357772772621</v>
      </c>
      <c r="AR11">
        <f t="shared" si="26"/>
        <v>85.005882149413637</v>
      </c>
      <c r="AS11">
        <f t="shared" si="27"/>
        <v>97.984692682071525</v>
      </c>
      <c r="AT11">
        <f t="shared" si="28"/>
        <v>77.1621668954417</v>
      </c>
      <c r="AU11">
        <f t="shared" si="29"/>
        <v>75.504966724050675</v>
      </c>
      <c r="AV11">
        <f t="shared" si="30"/>
        <v>154.00324671902212</v>
      </c>
      <c r="AW11">
        <f t="shared" si="31"/>
        <v>144.88616221019868</v>
      </c>
      <c r="AX11">
        <f t="shared" si="34"/>
        <v>149.75313018431368</v>
      </c>
      <c r="AY11">
        <f t="shared" si="35"/>
        <v>139.03237033151669</v>
      </c>
      <c r="AZ11">
        <f t="shared" si="36"/>
        <v>143.0314650697531</v>
      </c>
      <c r="BA11">
        <f t="shared" si="37"/>
        <v>133.98880550254935</v>
      </c>
      <c r="BB11">
        <f t="shared" si="38"/>
        <v>150.09663553857561</v>
      </c>
      <c r="BC11">
        <f t="shared" si="39"/>
        <v>164.1097193952875</v>
      </c>
      <c r="BD11">
        <f t="shared" si="40"/>
        <v>115.10864433221339</v>
      </c>
      <c r="BE11">
        <f t="shared" si="41"/>
        <v>160.80111939908875</v>
      </c>
      <c r="BF11">
        <f t="shared" si="32"/>
        <v>164.55291886112607</v>
      </c>
    </row>
    <row r="12" spans="1:58">
      <c r="A12" s="42"/>
      <c r="B12" s="45">
        <v>9</v>
      </c>
      <c r="C12">
        <f>Rand!P9</f>
        <v>582690</v>
      </c>
      <c r="D12">
        <f>Rand!Q9</f>
        <v>600928</v>
      </c>
      <c r="P12" s="45">
        <v>9</v>
      </c>
      <c r="Q12">
        <f t="shared" si="33"/>
        <v>48.900277362366893</v>
      </c>
      <c r="R12">
        <f t="shared" si="0"/>
        <v>43.829214001622255</v>
      </c>
      <c r="S12">
        <f t="shared" si="1"/>
        <v>7.2801098892805181</v>
      </c>
      <c r="T12">
        <f t="shared" si="2"/>
        <v>23.853720883753127</v>
      </c>
      <c r="U12">
        <f t="shared" si="3"/>
        <v>37.12142238654117</v>
      </c>
      <c r="V12">
        <f t="shared" si="4"/>
        <v>51.623637996561229</v>
      </c>
      <c r="W12">
        <f t="shared" si="5"/>
        <v>14.866068747318506</v>
      </c>
      <c r="X12">
        <f t="shared" si="6"/>
        <v>43.011626335213137</v>
      </c>
      <c r="Y12">
        <f t="shared" si="7"/>
        <v>14.212670403551895</v>
      </c>
      <c r="Z12">
        <f t="shared" si="8"/>
        <v>0</v>
      </c>
      <c r="AA12">
        <f t="shared" si="9"/>
        <v>28.160255680657446</v>
      </c>
      <c r="AB12">
        <f t="shared" si="10"/>
        <v>36.400549446402593</v>
      </c>
      <c r="AC12">
        <f t="shared" si="11"/>
        <v>55.713553108736477</v>
      </c>
      <c r="AD12">
        <f t="shared" si="12"/>
        <v>11.661903789690601</v>
      </c>
      <c r="AE12">
        <f t="shared" si="13"/>
        <v>42.201895692018383</v>
      </c>
      <c r="AF12">
        <f t="shared" si="14"/>
        <v>23.345235059857504</v>
      </c>
      <c r="AG12">
        <f t="shared" si="15"/>
        <v>40</v>
      </c>
      <c r="AH12">
        <f t="shared" si="16"/>
        <v>37.336309405188942</v>
      </c>
      <c r="AI12">
        <f t="shared" si="17"/>
        <v>42.449970553582247</v>
      </c>
      <c r="AJ12">
        <f t="shared" si="18"/>
        <v>45.276925690687087</v>
      </c>
      <c r="AK12">
        <f t="shared" si="19"/>
        <v>12.529964086141668</v>
      </c>
      <c r="AL12">
        <f t="shared" si="20"/>
        <v>76.687678280151374</v>
      </c>
      <c r="AM12">
        <f t="shared" si="21"/>
        <v>86.579443287653447</v>
      </c>
      <c r="AN12">
        <f t="shared" si="22"/>
        <v>96.876209669866839</v>
      </c>
      <c r="AO12">
        <f t="shared" si="23"/>
        <v>85.328775919967356</v>
      </c>
      <c r="AP12">
        <f t="shared" si="24"/>
        <v>96.332756630338366</v>
      </c>
      <c r="AQ12">
        <f t="shared" si="25"/>
        <v>99.141313285632847</v>
      </c>
      <c r="AR12">
        <f t="shared" si="26"/>
        <v>76.941536246685374</v>
      </c>
      <c r="AS12">
        <f t="shared" si="27"/>
        <v>86.977008456258133</v>
      </c>
      <c r="AT12">
        <f t="shared" si="28"/>
        <v>69.856996786291916</v>
      </c>
      <c r="AU12">
        <f t="shared" si="29"/>
        <v>65.12296062065974</v>
      </c>
      <c r="AV12">
        <f t="shared" si="30"/>
        <v>145.34441853748632</v>
      </c>
      <c r="AW12">
        <f t="shared" si="31"/>
        <v>135.09256086106296</v>
      </c>
      <c r="AX12">
        <f t="shared" si="34"/>
        <v>140.05713120009278</v>
      </c>
      <c r="AY12">
        <f t="shared" si="35"/>
        <v>130.24592124131948</v>
      </c>
      <c r="AZ12">
        <f t="shared" si="36"/>
        <v>134.72935834479432</v>
      </c>
      <c r="BA12">
        <f t="shared" si="37"/>
        <v>123.58397954427588</v>
      </c>
      <c r="BB12">
        <f t="shared" si="38"/>
        <v>139.70325694127536</v>
      </c>
      <c r="BC12">
        <f t="shared" si="39"/>
        <v>155.92947123619703</v>
      </c>
      <c r="BD12">
        <f t="shared" si="40"/>
        <v>107.20074626605917</v>
      </c>
      <c r="BE12">
        <f t="shared" si="41"/>
        <v>150.56227947264878</v>
      </c>
      <c r="BF12">
        <f t="shared" si="32"/>
        <v>156.86557559170316</v>
      </c>
    </row>
    <row r="13" spans="1:58">
      <c r="A13" s="42"/>
      <c r="B13" s="45">
        <v>10</v>
      </c>
      <c r="C13">
        <f>Rand!P2</f>
        <v>582687</v>
      </c>
      <c r="D13">
        <f>Rand!Q2</f>
        <v>600956</v>
      </c>
      <c r="P13" s="45">
        <v>10</v>
      </c>
      <c r="Q13">
        <f t="shared" si="33"/>
        <v>60.337672196701448</v>
      </c>
      <c r="R13" s="13">
        <f t="shared" si="0"/>
        <v>36.878177829171548</v>
      </c>
      <c r="S13" s="13">
        <f t="shared" si="1"/>
        <v>30.265491900843113</v>
      </c>
      <c r="T13" s="13">
        <f t="shared" si="2"/>
        <v>12.806248474865697</v>
      </c>
      <c r="U13" s="13">
        <f t="shared" si="3"/>
        <v>46.010868281309364</v>
      </c>
      <c r="V13" s="13">
        <f t="shared" si="4"/>
        <v>41.012193308819754</v>
      </c>
      <c r="W13" s="13">
        <f t="shared" si="5"/>
        <v>14.142135623730951</v>
      </c>
      <c r="X13" s="13">
        <f t="shared" si="6"/>
        <v>49.406477308142499</v>
      </c>
      <c r="Y13" s="13">
        <f t="shared" si="7"/>
        <v>39.45883931389772</v>
      </c>
      <c r="Z13">
        <f t="shared" si="8"/>
        <v>28.160255680657446</v>
      </c>
      <c r="AA13">
        <f t="shared" si="9"/>
        <v>0</v>
      </c>
      <c r="AB13">
        <f t="shared" si="10"/>
        <v>32.557641192199412</v>
      </c>
      <c r="AC13">
        <f t="shared" si="11"/>
        <v>55.578772926361012</v>
      </c>
      <c r="AD13">
        <f t="shared" si="12"/>
        <v>36.400549446402593</v>
      </c>
      <c r="AE13">
        <f t="shared" si="13"/>
        <v>47.539457296018853</v>
      </c>
      <c r="AF13">
        <f t="shared" si="14"/>
        <v>23.323807579381203</v>
      </c>
      <c r="AG13">
        <f t="shared" si="15"/>
        <v>35.227829907617071</v>
      </c>
      <c r="AH13">
        <f t="shared" si="16"/>
        <v>51.855568649856693</v>
      </c>
      <c r="AI13">
        <f t="shared" si="17"/>
        <v>58.796258384356399</v>
      </c>
      <c r="AJ13">
        <f t="shared" si="18"/>
        <v>42.296571965113202</v>
      </c>
      <c r="AK13">
        <f t="shared" si="19"/>
        <v>19.235384061671343</v>
      </c>
      <c r="AL13">
        <f t="shared" si="20"/>
        <v>78.917678627795439</v>
      </c>
      <c r="AM13">
        <f t="shared" si="21"/>
        <v>96.772930099279307</v>
      </c>
      <c r="AN13">
        <f t="shared" si="22"/>
        <v>107.15409464878138</v>
      </c>
      <c r="AO13">
        <f t="shared" si="23"/>
        <v>97.04638066409278</v>
      </c>
      <c r="AP13">
        <f t="shared" si="24"/>
        <v>101</v>
      </c>
      <c r="AQ13">
        <f t="shared" si="25"/>
        <v>101.83319694480774</v>
      </c>
      <c r="AR13">
        <f t="shared" si="26"/>
        <v>88.549421229051518</v>
      </c>
      <c r="AS13">
        <f t="shared" si="27"/>
        <v>90.255193756370602</v>
      </c>
      <c r="AT13">
        <f t="shared" si="28"/>
        <v>83.52843827104634</v>
      </c>
      <c r="AU13">
        <f t="shared" si="29"/>
        <v>72.111025509279784</v>
      </c>
      <c r="AV13">
        <f t="shared" si="30"/>
        <v>152.80052355931247</v>
      </c>
      <c r="AW13">
        <f t="shared" si="31"/>
        <v>139.90353819685905</v>
      </c>
      <c r="AX13">
        <f t="shared" si="34"/>
        <v>145</v>
      </c>
      <c r="AY13">
        <f t="shared" si="35"/>
        <v>137.78606605894515</v>
      </c>
      <c r="AZ13">
        <f t="shared" si="36"/>
        <v>143.29340529138108</v>
      </c>
      <c r="BA13">
        <f t="shared" si="37"/>
        <v>127.01181047445942</v>
      </c>
      <c r="BB13">
        <f t="shared" si="38"/>
        <v>142.68847185389575</v>
      </c>
      <c r="BC13">
        <f t="shared" si="39"/>
        <v>164.28329190760695</v>
      </c>
      <c r="BD13">
        <f t="shared" si="40"/>
        <v>117.5457357797381</v>
      </c>
      <c r="BE13">
        <f t="shared" si="41"/>
        <v>153.73353570382747</v>
      </c>
      <c r="BF13">
        <f t="shared" si="32"/>
        <v>166.31124798315636</v>
      </c>
    </row>
    <row r="14" spans="1:58">
      <c r="A14" s="42"/>
      <c r="B14" s="45">
        <v>11</v>
      </c>
      <c r="C14">
        <f>Rand!P17</f>
        <v>582719</v>
      </c>
      <c r="D14">
        <f>Rand!Q17</f>
        <v>600950</v>
      </c>
      <c r="P14" s="45">
        <v>11</v>
      </c>
      <c r="Q14">
        <f t="shared" si="33"/>
        <v>83.832132300886528</v>
      </c>
      <c r="R14" s="13">
        <f t="shared" si="0"/>
        <v>68.029405406779802</v>
      </c>
      <c r="S14" s="13">
        <f t="shared" si="1"/>
        <v>43.266615305567875</v>
      </c>
      <c r="T14" s="13">
        <f t="shared" si="2"/>
        <v>42.047592083257278</v>
      </c>
      <c r="U14" s="13">
        <f t="shared" si="3"/>
        <v>70.576199954375554</v>
      </c>
      <c r="V14" s="13">
        <f t="shared" si="4"/>
        <v>73.17103251970687</v>
      </c>
      <c r="W14" s="13">
        <f t="shared" si="5"/>
        <v>34.928498393145958</v>
      </c>
      <c r="X14" s="13">
        <f t="shared" si="6"/>
        <v>75.584389922787622</v>
      </c>
      <c r="Y14" s="13">
        <f t="shared" si="7"/>
        <v>50.328918128646478</v>
      </c>
      <c r="Z14">
        <f t="shared" si="8"/>
        <v>36.400549446402593</v>
      </c>
      <c r="AA14">
        <f t="shared" si="9"/>
        <v>32.557641192199412</v>
      </c>
      <c r="AB14">
        <f t="shared" si="10"/>
        <v>0</v>
      </c>
      <c r="AC14">
        <f t="shared" si="11"/>
        <v>23.086792761230392</v>
      </c>
      <c r="AD14">
        <f t="shared" si="12"/>
        <v>33.837848631377263</v>
      </c>
      <c r="AE14">
        <f t="shared" si="13"/>
        <v>16.970562748477139</v>
      </c>
      <c r="AF14">
        <f t="shared" si="14"/>
        <v>13.416407864998739</v>
      </c>
      <c r="AG14">
        <f t="shared" si="15"/>
        <v>3.6055512754639891</v>
      </c>
      <c r="AH14">
        <f t="shared" si="16"/>
        <v>28.160255680657446</v>
      </c>
      <c r="AI14">
        <f t="shared" si="17"/>
        <v>35.114099732158877</v>
      </c>
      <c r="AJ14">
        <f t="shared" si="18"/>
        <v>10.04987562112089</v>
      </c>
      <c r="AK14">
        <f t="shared" si="19"/>
        <v>25.495097567963924</v>
      </c>
      <c r="AL14">
        <f t="shared" si="20"/>
        <v>46.389654018972806</v>
      </c>
      <c r="AM14">
        <f t="shared" si="21"/>
        <v>65.36818798161687</v>
      </c>
      <c r="AN14">
        <f t="shared" si="22"/>
        <v>75.591004755857028</v>
      </c>
      <c r="AO14">
        <f t="shared" si="23"/>
        <v>66.2872536767062</v>
      </c>
      <c r="AP14">
        <f t="shared" si="24"/>
        <v>68.447059834590405</v>
      </c>
      <c r="AQ14">
        <f t="shared" si="25"/>
        <v>69.354163537598808</v>
      </c>
      <c r="AR14">
        <f t="shared" si="26"/>
        <v>58.008620049092706</v>
      </c>
      <c r="AS14">
        <f t="shared" si="27"/>
        <v>57.706152185014034</v>
      </c>
      <c r="AT14">
        <f t="shared" si="28"/>
        <v>54.451813560247928</v>
      </c>
      <c r="AU14">
        <f t="shared" si="29"/>
        <v>40.249223594996216</v>
      </c>
      <c r="AV14">
        <f t="shared" si="30"/>
        <v>120.33287165193059</v>
      </c>
      <c r="AW14">
        <f t="shared" si="31"/>
        <v>107.35455276791944</v>
      </c>
      <c r="AX14">
        <f t="shared" si="34"/>
        <v>112.44998888394787</v>
      </c>
      <c r="AY14">
        <f t="shared" si="35"/>
        <v>105.3612832116238</v>
      </c>
      <c r="AZ14">
        <f t="shared" si="36"/>
        <v>111</v>
      </c>
      <c r="BA14">
        <f t="shared" si="37"/>
        <v>94.530418384771792</v>
      </c>
      <c r="BB14">
        <f t="shared" si="38"/>
        <v>110.2905254316979</v>
      </c>
      <c r="BC14">
        <f t="shared" si="39"/>
        <v>131.89768762188365</v>
      </c>
      <c r="BD14">
        <f t="shared" si="40"/>
        <v>85.866174946832231</v>
      </c>
      <c r="BE14">
        <f t="shared" si="41"/>
        <v>121.33424908079334</v>
      </c>
      <c r="BF14">
        <f t="shared" si="32"/>
        <v>134.09995125173208</v>
      </c>
    </row>
    <row r="15" spans="1:58">
      <c r="A15" s="42"/>
      <c r="B15" s="45">
        <v>12</v>
      </c>
      <c r="C15">
        <f>Rand!P18</f>
        <v>582742</v>
      </c>
      <c r="D15">
        <f>Rand!Q18</f>
        <v>600948</v>
      </c>
      <c r="P15" s="45">
        <v>12</v>
      </c>
      <c r="Q15">
        <f t="shared" si="33"/>
        <v>104.49890911445436</v>
      </c>
      <c r="R15" s="13">
        <f t="shared" si="0"/>
        <v>91</v>
      </c>
      <c r="S15" s="13">
        <f t="shared" si="1"/>
        <v>62.968245965724662</v>
      </c>
      <c r="T15" s="13">
        <f t="shared" si="2"/>
        <v>65</v>
      </c>
      <c r="U15" s="13">
        <f t="shared" si="3"/>
        <v>91.923881554251182</v>
      </c>
      <c r="V15" s="13">
        <f t="shared" si="4"/>
        <v>96.254870006665115</v>
      </c>
      <c r="W15" s="13">
        <f t="shared" si="5"/>
        <v>57.314919523628397</v>
      </c>
      <c r="X15" s="13">
        <f t="shared" si="6"/>
        <v>97.293370791642332</v>
      </c>
      <c r="Y15" s="13">
        <f t="shared" si="7"/>
        <v>68.425141578224014</v>
      </c>
      <c r="Z15">
        <f t="shared" si="8"/>
        <v>55.713553108736477</v>
      </c>
      <c r="AA15">
        <f t="shared" si="9"/>
        <v>55.578772926361012</v>
      </c>
      <c r="AB15">
        <f t="shared" si="10"/>
        <v>23.086792761230392</v>
      </c>
      <c r="AC15">
        <f t="shared" si="11"/>
        <v>0</v>
      </c>
      <c r="AD15">
        <f t="shared" si="12"/>
        <v>49.396356140913873</v>
      </c>
      <c r="AE15">
        <f t="shared" si="13"/>
        <v>14.866068747318506</v>
      </c>
      <c r="AF15">
        <f t="shared" si="14"/>
        <v>35.227829907617071</v>
      </c>
      <c r="AG15">
        <f t="shared" si="15"/>
        <v>20.396078054371138</v>
      </c>
      <c r="AH15">
        <f t="shared" si="16"/>
        <v>29.154759474226502</v>
      </c>
      <c r="AI15">
        <f t="shared" si="17"/>
        <v>32.893768406797051</v>
      </c>
      <c r="AJ15">
        <f t="shared" si="18"/>
        <v>13.341664064126334</v>
      </c>
      <c r="AK15">
        <f t="shared" si="19"/>
        <v>46.872166581031863</v>
      </c>
      <c r="AL15">
        <f t="shared" si="20"/>
        <v>23.345235059857504</v>
      </c>
      <c r="AM15">
        <f t="shared" si="21"/>
        <v>45.343136195018538</v>
      </c>
      <c r="AN15">
        <f t="shared" si="22"/>
        <v>55</v>
      </c>
      <c r="AO15">
        <f t="shared" si="23"/>
        <v>47.423622805517503</v>
      </c>
      <c r="AP15">
        <f t="shared" si="24"/>
        <v>45.607017003965517</v>
      </c>
      <c r="AQ15">
        <f t="shared" si="25"/>
        <v>46.270941205037097</v>
      </c>
      <c r="AR15">
        <f t="shared" si="26"/>
        <v>40</v>
      </c>
      <c r="AS15">
        <f t="shared" si="27"/>
        <v>34.713109915419565</v>
      </c>
      <c r="AT15">
        <f t="shared" si="28"/>
        <v>39.395431207184416</v>
      </c>
      <c r="AU15">
        <f t="shared" si="29"/>
        <v>20.615528128088304</v>
      </c>
      <c r="AV15">
        <f t="shared" si="30"/>
        <v>97.718984849413985</v>
      </c>
      <c r="AW15">
        <f t="shared" si="31"/>
        <v>84.344531535838172</v>
      </c>
      <c r="AX15">
        <f t="shared" si="34"/>
        <v>89.442719099991592</v>
      </c>
      <c r="AY15">
        <f t="shared" si="35"/>
        <v>82.87339742040264</v>
      </c>
      <c r="AZ15">
        <f t="shared" si="36"/>
        <v>88.76936408468859</v>
      </c>
      <c r="BA15">
        <f t="shared" si="37"/>
        <v>71.449282711584999</v>
      </c>
      <c r="BB15">
        <f t="shared" si="38"/>
        <v>87.206651122491792</v>
      </c>
      <c r="BC15">
        <f t="shared" si="39"/>
        <v>109.4440496326776</v>
      </c>
      <c r="BD15">
        <f t="shared" si="40"/>
        <v>64.899922958351809</v>
      </c>
      <c r="BE15">
        <f t="shared" si="41"/>
        <v>98.249681933327395</v>
      </c>
      <c r="BF15">
        <f t="shared" si="32"/>
        <v>111.95590313028714</v>
      </c>
    </row>
    <row r="16" spans="1:58">
      <c r="A16" s="42"/>
      <c r="B16" s="45">
        <v>13</v>
      </c>
      <c r="C16">
        <f>Rand!P14</f>
        <v>582700</v>
      </c>
      <c r="D16">
        <f>Rand!Q14</f>
        <v>600922</v>
      </c>
      <c r="P16" s="45">
        <v>13</v>
      </c>
      <c r="Q16">
        <f t="shared" si="33"/>
        <v>57.538042772720488</v>
      </c>
      <c r="R16" s="13">
        <f t="shared" si="0"/>
        <v>55.470712993434653</v>
      </c>
      <c r="S16" s="13">
        <f t="shared" si="1"/>
        <v>17.464249196572979</v>
      </c>
      <c r="T16" s="13">
        <f t="shared" si="2"/>
        <v>34.713109915419565</v>
      </c>
      <c r="U16" s="13">
        <f t="shared" si="3"/>
        <v>47.095647357266465</v>
      </c>
      <c r="V16" s="13">
        <f t="shared" si="4"/>
        <v>63.28506932918696</v>
      </c>
      <c r="W16" s="13">
        <f t="shared" si="5"/>
        <v>25</v>
      </c>
      <c r="X16" s="13">
        <f t="shared" si="6"/>
        <v>53.235326616824658</v>
      </c>
      <c r="Y16" s="13">
        <f t="shared" si="7"/>
        <v>19.646882704388499</v>
      </c>
      <c r="Z16">
        <f t="shared" si="8"/>
        <v>11.661903789690601</v>
      </c>
      <c r="AA16">
        <f t="shared" si="9"/>
        <v>36.400549446402593</v>
      </c>
      <c r="AB16">
        <f t="shared" si="10"/>
        <v>33.837848631377263</v>
      </c>
      <c r="AC16">
        <f t="shared" si="11"/>
        <v>49.396356140913873</v>
      </c>
      <c r="AD16">
        <f t="shared" si="12"/>
        <v>0</v>
      </c>
      <c r="AE16">
        <f t="shared" si="13"/>
        <v>34.885527085024819</v>
      </c>
      <c r="AF16">
        <f t="shared" si="14"/>
        <v>23.086792761230392</v>
      </c>
      <c r="AG16">
        <f t="shared" si="15"/>
        <v>37.20215047547655</v>
      </c>
      <c r="AH16">
        <f t="shared" si="16"/>
        <v>27.018512172212592</v>
      </c>
      <c r="AI16">
        <f t="shared" si="17"/>
        <v>31.400636936215164</v>
      </c>
      <c r="AJ16">
        <f t="shared" si="18"/>
        <v>41.012193308819754</v>
      </c>
      <c r="AK16">
        <f t="shared" si="19"/>
        <v>17.464249196572979</v>
      </c>
      <c r="AL16">
        <f t="shared" si="20"/>
        <v>68.622153857191051</v>
      </c>
      <c r="AM16">
        <f t="shared" si="21"/>
        <v>76.105190361761785</v>
      </c>
      <c r="AN16">
        <f t="shared" si="22"/>
        <v>86.284413424441851</v>
      </c>
      <c r="AO16">
        <f t="shared" si="23"/>
        <v>74.545288248151536</v>
      </c>
      <c r="AP16">
        <f t="shared" si="24"/>
        <v>87.13208364316786</v>
      </c>
      <c r="AQ16">
        <f t="shared" si="25"/>
        <v>90.470989825468365</v>
      </c>
      <c r="AR16">
        <f t="shared" si="26"/>
        <v>66.272166103123567</v>
      </c>
      <c r="AS16">
        <f t="shared" si="27"/>
        <v>78.339006886735547</v>
      </c>
      <c r="AT16">
        <f t="shared" si="28"/>
        <v>58.855755878248644</v>
      </c>
      <c r="AU16">
        <f t="shared" si="29"/>
        <v>55.901699437494742</v>
      </c>
      <c r="AV16">
        <f t="shared" si="30"/>
        <v>135.05924625881784</v>
      </c>
      <c r="AW16">
        <f t="shared" si="31"/>
        <v>125.48306658669129</v>
      </c>
      <c r="AX16">
        <f t="shared" si="34"/>
        <v>130.38404810405297</v>
      </c>
      <c r="AY16">
        <f t="shared" si="35"/>
        <v>120.01666550941998</v>
      </c>
      <c r="AZ16">
        <f t="shared" si="36"/>
        <v>124.25779653607253</v>
      </c>
      <c r="BA16">
        <f t="shared" si="37"/>
        <v>114.42464769445436</v>
      </c>
      <c r="BB16">
        <f t="shared" si="38"/>
        <v>130.54118124178285</v>
      </c>
      <c r="BC16">
        <f t="shared" si="39"/>
        <v>145.41664278891878</v>
      </c>
      <c r="BD16">
        <f t="shared" si="40"/>
        <v>96.519428096109237</v>
      </c>
      <c r="BE16">
        <f t="shared" si="41"/>
        <v>141.2834031300209</v>
      </c>
      <c r="BF16">
        <f t="shared" si="32"/>
        <v>146.13959451742411</v>
      </c>
    </row>
    <row r="17" spans="1:58">
      <c r="A17" s="42"/>
      <c r="B17" s="45">
        <v>14</v>
      </c>
      <c r="C17">
        <f>Rand!P21</f>
        <v>582731</v>
      </c>
      <c r="D17">
        <f>Rand!Q21</f>
        <v>600938</v>
      </c>
      <c r="P17" s="45">
        <v>14</v>
      </c>
      <c r="Q17">
        <f t="shared" si="33"/>
        <v>91.089089171602552</v>
      </c>
      <c r="R17" s="13">
        <f t="shared" si="0"/>
        <v>80.622577482985491</v>
      </c>
      <c r="S17" s="13">
        <f t="shared" si="1"/>
        <v>49.477267507411923</v>
      </c>
      <c r="T17" s="13">
        <f t="shared" si="2"/>
        <v>54.918120870983927</v>
      </c>
      <c r="U17" s="13">
        <f t="shared" si="3"/>
        <v>79.075912893876861</v>
      </c>
      <c r="V17" s="13">
        <f t="shared" si="4"/>
        <v>86.683331731077345</v>
      </c>
      <c r="W17" s="13">
        <f t="shared" si="5"/>
        <v>46.173585522460783</v>
      </c>
      <c r="X17" s="13">
        <f t="shared" si="6"/>
        <v>84.717176534631989</v>
      </c>
      <c r="Y17" s="13">
        <f t="shared" si="7"/>
        <v>54.230987451824994</v>
      </c>
      <c r="Z17">
        <f t="shared" si="8"/>
        <v>42.201895692018383</v>
      </c>
      <c r="AA17">
        <f t="shared" si="9"/>
        <v>47.539457296018853</v>
      </c>
      <c r="AB17">
        <f t="shared" si="10"/>
        <v>16.970562748477139</v>
      </c>
      <c r="AC17">
        <f t="shared" si="11"/>
        <v>14.866068747318506</v>
      </c>
      <c r="AD17">
        <f t="shared" si="12"/>
        <v>34.885527085024819</v>
      </c>
      <c r="AE17">
        <f t="shared" si="13"/>
        <v>0</v>
      </c>
      <c r="AF17">
        <f t="shared" si="14"/>
        <v>24.738633753705962</v>
      </c>
      <c r="AG17">
        <f t="shared" si="15"/>
        <v>16.643316977093239</v>
      </c>
      <c r="AH17">
        <f t="shared" si="16"/>
        <v>15.524174696260024</v>
      </c>
      <c r="AI17">
        <f t="shared" si="17"/>
        <v>21</v>
      </c>
      <c r="AJ17">
        <f t="shared" si="18"/>
        <v>13.152946437965905</v>
      </c>
      <c r="AK17">
        <f t="shared" si="19"/>
        <v>35.014282800023196</v>
      </c>
      <c r="AL17">
        <f t="shared" si="20"/>
        <v>34.525353003264136</v>
      </c>
      <c r="AM17">
        <f t="shared" si="21"/>
        <v>49.244289008980523</v>
      </c>
      <c r="AN17">
        <f t="shared" si="22"/>
        <v>59.615434243155519</v>
      </c>
      <c r="AO17">
        <f t="shared" si="23"/>
        <v>49.739320461783549</v>
      </c>
      <c r="AP17">
        <f t="shared" si="24"/>
        <v>55.036351623268054</v>
      </c>
      <c r="AQ17">
        <f t="shared" si="25"/>
        <v>57.218878003679869</v>
      </c>
      <c r="AR17">
        <f t="shared" si="26"/>
        <v>41.340053217188775</v>
      </c>
      <c r="AS17">
        <f t="shared" si="27"/>
        <v>45.099889135118723</v>
      </c>
      <c r="AT17">
        <f t="shared" si="28"/>
        <v>37.483329627982627</v>
      </c>
      <c r="AU17">
        <f t="shared" si="29"/>
        <v>24.738633753705962</v>
      </c>
      <c r="AV17">
        <f t="shared" si="30"/>
        <v>105.90561835898981</v>
      </c>
      <c r="AW17">
        <f t="shared" si="31"/>
        <v>94.132884795909661</v>
      </c>
      <c r="AX17">
        <f t="shared" si="34"/>
        <v>99.181651528899238</v>
      </c>
      <c r="AY17">
        <f t="shared" si="35"/>
        <v>90.801982357215081</v>
      </c>
      <c r="AZ17">
        <f t="shared" si="36"/>
        <v>96.046863561492728</v>
      </c>
      <c r="BA17">
        <f t="shared" si="37"/>
        <v>82.024386617639507</v>
      </c>
      <c r="BB17">
        <f t="shared" si="38"/>
        <v>98.081598681913832</v>
      </c>
      <c r="BC17">
        <f t="shared" si="39"/>
        <v>117.15374513859982</v>
      </c>
      <c r="BD17">
        <f t="shared" si="40"/>
        <v>70.007142492748557</v>
      </c>
      <c r="BE17">
        <f t="shared" si="41"/>
        <v>109.04127658827184</v>
      </c>
      <c r="BF17">
        <f t="shared" si="32"/>
        <v>118.94405964871929</v>
      </c>
    </row>
    <row r="18" spans="1:58">
      <c r="A18" s="42"/>
      <c r="B18" s="45">
        <v>15</v>
      </c>
      <c r="C18">
        <f>Rand!P12</f>
        <v>582707</v>
      </c>
      <c r="D18">
        <f>Rand!Q12</f>
        <v>600944</v>
      </c>
      <c r="P18" s="45">
        <v>15</v>
      </c>
      <c r="Q18">
        <f t="shared" si="33"/>
        <v>70.423101082773954</v>
      </c>
      <c r="R18" s="13">
        <f t="shared" si="0"/>
        <v>56.142675390472796</v>
      </c>
      <c r="S18" s="13">
        <f t="shared" si="1"/>
        <v>30</v>
      </c>
      <c r="T18" s="13">
        <f t="shared" si="2"/>
        <v>30.265491900843113</v>
      </c>
      <c r="U18" s="13">
        <f t="shared" si="3"/>
        <v>57.245087125446844</v>
      </c>
      <c r="V18" s="13">
        <f t="shared" si="4"/>
        <v>61.98386886924694</v>
      </c>
      <c r="W18" s="13">
        <f t="shared" si="5"/>
        <v>22.090722034374522</v>
      </c>
      <c r="X18" s="13">
        <f t="shared" si="6"/>
        <v>62.361847310675458</v>
      </c>
      <c r="Y18" s="13">
        <f t="shared" si="7"/>
        <v>37.483329627982627</v>
      </c>
      <c r="Z18">
        <f t="shared" si="8"/>
        <v>23.345235059857504</v>
      </c>
      <c r="AA18">
        <f t="shared" si="9"/>
        <v>23.323807579381203</v>
      </c>
      <c r="AB18">
        <f t="shared" si="10"/>
        <v>13.416407864998739</v>
      </c>
      <c r="AC18">
        <f t="shared" si="11"/>
        <v>35.227829907617071</v>
      </c>
      <c r="AD18">
        <f t="shared" si="12"/>
        <v>23.086792761230392</v>
      </c>
      <c r="AE18">
        <f t="shared" si="13"/>
        <v>24.738633753705962</v>
      </c>
      <c r="AF18">
        <f t="shared" si="14"/>
        <v>0</v>
      </c>
      <c r="AG18">
        <f t="shared" si="15"/>
        <v>17</v>
      </c>
      <c r="AH18">
        <f t="shared" si="16"/>
        <v>29</v>
      </c>
      <c r="AI18">
        <f t="shared" si="17"/>
        <v>36.124783736376884</v>
      </c>
      <c r="AJ18">
        <f t="shared" si="18"/>
        <v>23.086792761230392</v>
      </c>
      <c r="AK18">
        <f t="shared" si="19"/>
        <v>12.083045973594572</v>
      </c>
      <c r="AL18">
        <f t="shared" si="20"/>
        <v>58</v>
      </c>
      <c r="AM18">
        <f t="shared" si="21"/>
        <v>73.736015623303103</v>
      </c>
      <c r="AN18">
        <f t="shared" si="22"/>
        <v>84.15461959987698</v>
      </c>
      <c r="AO18">
        <f t="shared" si="23"/>
        <v>73.824115301166998</v>
      </c>
      <c r="AP18">
        <f t="shared" si="24"/>
        <v>79.404030124421269</v>
      </c>
      <c r="AQ18">
        <f t="shared" si="25"/>
        <v>81.006172604314543</v>
      </c>
      <c r="AR18">
        <f t="shared" si="26"/>
        <v>65.30696746902278</v>
      </c>
      <c r="AS18">
        <f t="shared" si="27"/>
        <v>69.06518659932803</v>
      </c>
      <c r="AT18">
        <f t="shared" si="28"/>
        <v>60.207972893961475</v>
      </c>
      <c r="AU18">
        <f t="shared" si="29"/>
        <v>49.477267507411923</v>
      </c>
      <c r="AV18">
        <f t="shared" si="30"/>
        <v>130.61393493804556</v>
      </c>
      <c r="AW18">
        <f t="shared" si="31"/>
        <v>118.51160280748886</v>
      </c>
      <c r="AX18">
        <f t="shared" si="34"/>
        <v>123.58397954427588</v>
      </c>
      <c r="AY18">
        <f t="shared" si="35"/>
        <v>115.52056094046635</v>
      </c>
      <c r="AZ18">
        <f t="shared" si="36"/>
        <v>120.78493283518438</v>
      </c>
      <c r="BA18">
        <f t="shared" si="37"/>
        <v>106.07544484940895</v>
      </c>
      <c r="BB18">
        <f t="shared" si="38"/>
        <v>122.01639234135715</v>
      </c>
      <c r="BC18">
        <f t="shared" si="39"/>
        <v>141.89080308462562</v>
      </c>
      <c r="BD18">
        <f t="shared" si="40"/>
        <v>94.578010129204984</v>
      </c>
      <c r="BE18">
        <f t="shared" si="41"/>
        <v>133.0338302838793</v>
      </c>
      <c r="BF18">
        <f t="shared" si="32"/>
        <v>143.66410743716239</v>
      </c>
    </row>
    <row r="19" spans="1:58">
      <c r="A19" s="42"/>
      <c r="B19" s="45">
        <v>16</v>
      </c>
      <c r="C19">
        <f>Rand!P16</f>
        <v>582722</v>
      </c>
      <c r="D19">
        <f>Rand!Q16</f>
        <v>600952</v>
      </c>
      <c r="P19" s="45">
        <v>16</v>
      </c>
      <c r="Q19">
        <f t="shared" si="33"/>
        <v>87.396365176779668</v>
      </c>
      <c r="R19" s="13">
        <f t="shared" si="0"/>
        <v>71.112586790244109</v>
      </c>
      <c r="S19" s="13">
        <f t="shared" si="1"/>
        <v>46.872166581031863</v>
      </c>
      <c r="T19" s="13">
        <f t="shared" si="2"/>
        <v>45.177427992306072</v>
      </c>
      <c r="U19" s="13">
        <f t="shared" si="3"/>
        <v>74.094534211370814</v>
      </c>
      <c r="V19" s="13">
        <f t="shared" si="4"/>
        <v>76.05918747922567</v>
      </c>
      <c r="W19" s="13">
        <f t="shared" si="5"/>
        <v>38.327535793473601</v>
      </c>
      <c r="X19" s="13">
        <f t="shared" si="6"/>
        <v>79.05694150420949</v>
      </c>
      <c r="Y19" s="13">
        <f t="shared" si="7"/>
        <v>53.907327887774215</v>
      </c>
      <c r="Z19">
        <f t="shared" si="8"/>
        <v>40</v>
      </c>
      <c r="AA19">
        <f t="shared" si="9"/>
        <v>35.227829907617071</v>
      </c>
      <c r="AB19">
        <f t="shared" si="10"/>
        <v>3.6055512754639891</v>
      </c>
      <c r="AC19">
        <f t="shared" si="11"/>
        <v>20.396078054371138</v>
      </c>
      <c r="AD19">
        <f t="shared" si="12"/>
        <v>37.20215047547655</v>
      </c>
      <c r="AE19">
        <f t="shared" si="13"/>
        <v>16.643316977093239</v>
      </c>
      <c r="AF19">
        <f t="shared" si="14"/>
        <v>17</v>
      </c>
      <c r="AG19">
        <f t="shared" si="15"/>
        <v>0</v>
      </c>
      <c r="AH19">
        <f t="shared" si="16"/>
        <v>29.427877939124322</v>
      </c>
      <c r="AI19">
        <f t="shared" si="17"/>
        <v>36.138621999185304</v>
      </c>
      <c r="AJ19">
        <f t="shared" si="18"/>
        <v>7.0710678118654755</v>
      </c>
      <c r="AK19">
        <f t="shared" si="19"/>
        <v>29.068883707497267</v>
      </c>
      <c r="AL19">
        <f t="shared" si="20"/>
        <v>43.737855457258078</v>
      </c>
      <c r="AM19">
        <f t="shared" si="21"/>
        <v>63.812224534175265</v>
      </c>
      <c r="AN19">
        <f t="shared" si="22"/>
        <v>73.925638313104884</v>
      </c>
      <c r="AO19">
        <f t="shared" si="23"/>
        <v>65</v>
      </c>
      <c r="AP19">
        <f t="shared" si="24"/>
        <v>65.969690009882569</v>
      </c>
      <c r="AQ19">
        <f t="shared" si="25"/>
        <v>66.610809933523555</v>
      </c>
      <c r="AR19">
        <f t="shared" si="26"/>
        <v>56.850681614207581</v>
      </c>
      <c r="AS19">
        <f t="shared" si="27"/>
        <v>55.108982933819419</v>
      </c>
      <c r="AT19">
        <f t="shared" si="28"/>
        <v>53.814496188294839</v>
      </c>
      <c r="AU19">
        <f t="shared" si="29"/>
        <v>38.587562763149478</v>
      </c>
      <c r="AV19">
        <f t="shared" si="30"/>
        <v>118.00423721205946</v>
      </c>
      <c r="AW19">
        <f t="shared" si="31"/>
        <v>104.7377677822093</v>
      </c>
      <c r="AX19">
        <f t="shared" si="34"/>
        <v>109.83624174196785</v>
      </c>
      <c r="AY19">
        <f t="shared" si="35"/>
        <v>103.09219175087898</v>
      </c>
      <c r="AZ19">
        <f t="shared" si="36"/>
        <v>108.84851859350222</v>
      </c>
      <c r="BA19">
        <f t="shared" si="37"/>
        <v>91.787798753429101</v>
      </c>
      <c r="BB19">
        <f t="shared" si="38"/>
        <v>107.46627377926528</v>
      </c>
      <c r="BC19">
        <f t="shared" si="39"/>
        <v>129.65338406690356</v>
      </c>
      <c r="BD19">
        <f t="shared" si="40"/>
        <v>84.118963379252364</v>
      </c>
      <c r="BE19">
        <f t="shared" si="41"/>
        <v>118.51160280748886</v>
      </c>
      <c r="BF19">
        <f t="shared" si="32"/>
        <v>131.99389806243693</v>
      </c>
    </row>
    <row r="20" spans="1:58">
      <c r="A20" s="42"/>
      <c r="B20" s="45">
        <v>17</v>
      </c>
      <c r="C20">
        <f>Rand!P19</f>
        <v>582727</v>
      </c>
      <c r="D20">
        <f>Rand!Q19</f>
        <v>600923</v>
      </c>
      <c r="P20" s="45">
        <v>17</v>
      </c>
      <c r="Q20">
        <f t="shared" si="33"/>
        <v>84.484808729810339</v>
      </c>
      <c r="R20">
        <f t="shared" si="0"/>
        <v>80.006249755878443</v>
      </c>
      <c r="S20">
        <f t="shared" si="1"/>
        <v>44.10215414239989</v>
      </c>
      <c r="T20">
        <f t="shared" si="2"/>
        <v>55.901699437494742</v>
      </c>
      <c r="U20">
        <f t="shared" si="3"/>
        <v>74.027022093286988</v>
      </c>
      <c r="V20">
        <f t="shared" si="4"/>
        <v>87.091905479212016</v>
      </c>
      <c r="W20">
        <f t="shared" si="5"/>
        <v>46.097722286464439</v>
      </c>
      <c r="X20">
        <f t="shared" si="6"/>
        <v>80.09993757800315</v>
      </c>
      <c r="Y20">
        <f t="shared" si="7"/>
        <v>46.389654018972806</v>
      </c>
      <c r="Z20">
        <f t="shared" si="8"/>
        <v>37.336309405188942</v>
      </c>
      <c r="AA20">
        <f t="shared" si="9"/>
        <v>51.855568649856693</v>
      </c>
      <c r="AB20">
        <f t="shared" si="10"/>
        <v>28.160255680657446</v>
      </c>
      <c r="AC20">
        <f t="shared" si="11"/>
        <v>29.154759474226502</v>
      </c>
      <c r="AD20">
        <f t="shared" si="12"/>
        <v>27.018512172212592</v>
      </c>
      <c r="AE20">
        <f t="shared" si="13"/>
        <v>15.524174696260024</v>
      </c>
      <c r="AF20">
        <f t="shared" si="14"/>
        <v>29</v>
      </c>
      <c r="AG20">
        <f t="shared" si="15"/>
        <v>29.427877939124322</v>
      </c>
      <c r="AH20">
        <f t="shared" si="16"/>
        <v>0</v>
      </c>
      <c r="AI20">
        <f t="shared" si="17"/>
        <v>7.2111025509279782</v>
      </c>
      <c r="AJ20">
        <f t="shared" si="18"/>
        <v>28.071337695236398</v>
      </c>
      <c r="AK20">
        <f t="shared" si="19"/>
        <v>34.885527085024819</v>
      </c>
      <c r="AL20">
        <f t="shared" si="20"/>
        <v>43.416586692184822</v>
      </c>
      <c r="AM20">
        <f t="shared" si="21"/>
        <v>49.254441424099006</v>
      </c>
      <c r="AN20">
        <f t="shared" si="22"/>
        <v>59.539902586416787</v>
      </c>
      <c r="AO20">
        <f t="shared" si="23"/>
        <v>48.052055106935853</v>
      </c>
      <c r="AP20">
        <f t="shared" si="24"/>
        <v>60.415229867972862</v>
      </c>
      <c r="AQ20">
        <f t="shared" si="25"/>
        <v>64.195015382816138</v>
      </c>
      <c r="AR20">
        <f t="shared" si="26"/>
        <v>39.623225512317902</v>
      </c>
      <c r="AS20">
        <f t="shared" si="27"/>
        <v>52.201532544552748</v>
      </c>
      <c r="AT20">
        <f t="shared" si="28"/>
        <v>32.893768406797051</v>
      </c>
      <c r="AU20">
        <f t="shared" si="29"/>
        <v>29.410882339705484</v>
      </c>
      <c r="AV20">
        <f t="shared" si="30"/>
        <v>108.11567878897121</v>
      </c>
      <c r="AW20">
        <f t="shared" si="31"/>
        <v>98.508882848198013</v>
      </c>
      <c r="AX20">
        <f t="shared" si="34"/>
        <v>103.39245620450265</v>
      </c>
      <c r="AY20">
        <f t="shared" si="35"/>
        <v>93.048374515624943</v>
      </c>
      <c r="AZ20">
        <f t="shared" si="36"/>
        <v>97.416631023660429</v>
      </c>
      <c r="BA20">
        <f t="shared" si="37"/>
        <v>87.664131775772461</v>
      </c>
      <c r="BB20">
        <f t="shared" si="38"/>
        <v>103.75451797391764</v>
      </c>
      <c r="BC20">
        <f t="shared" si="39"/>
        <v>118.6086000254619</v>
      </c>
      <c r="BD20">
        <f t="shared" si="40"/>
        <v>69.871310278253688</v>
      </c>
      <c r="BE20">
        <f t="shared" si="41"/>
        <v>114.42464769445436</v>
      </c>
      <c r="BF20">
        <f t="shared" si="32"/>
        <v>119.53683928278572</v>
      </c>
    </row>
    <row r="21" spans="1:58">
      <c r="A21" s="42"/>
      <c r="B21" s="45">
        <v>18</v>
      </c>
      <c r="C21">
        <f>Rand!P13</f>
        <v>582731</v>
      </c>
      <c r="D21">
        <f>Rand!Q13</f>
        <v>600917</v>
      </c>
      <c r="P21" s="45">
        <v>18</v>
      </c>
      <c r="Q21">
        <f t="shared" si="33"/>
        <v>88.113762296886705</v>
      </c>
      <c r="R21" s="13">
        <f t="shared" si="0"/>
        <v>85.796270315206598</v>
      </c>
      <c r="S21" s="13">
        <f t="shared" si="1"/>
        <v>48.836461788299118</v>
      </c>
      <c r="T21" s="13">
        <f t="shared" si="2"/>
        <v>62.265560304232388</v>
      </c>
      <c r="U21" s="13">
        <f t="shared" si="3"/>
        <v>78.409183135650636</v>
      </c>
      <c r="V21" s="13">
        <f t="shared" si="4"/>
        <v>93.107464792034804</v>
      </c>
      <c r="W21" s="13">
        <f t="shared" si="5"/>
        <v>52.354560450833695</v>
      </c>
      <c r="X21" s="13">
        <f t="shared" si="6"/>
        <v>84.593143930226404</v>
      </c>
      <c r="Y21" s="13">
        <f t="shared" si="7"/>
        <v>50</v>
      </c>
      <c r="Z21">
        <f t="shared" si="8"/>
        <v>42.449970553582247</v>
      </c>
      <c r="AA21">
        <f t="shared" si="9"/>
        <v>58.796258384356399</v>
      </c>
      <c r="AB21">
        <f t="shared" si="10"/>
        <v>35.114099732158877</v>
      </c>
      <c r="AC21">
        <f t="shared" si="11"/>
        <v>32.893768406797051</v>
      </c>
      <c r="AD21">
        <f t="shared" si="12"/>
        <v>31.400636936215164</v>
      </c>
      <c r="AE21">
        <f t="shared" si="13"/>
        <v>21</v>
      </c>
      <c r="AF21">
        <f t="shared" si="14"/>
        <v>36.124783736376884</v>
      </c>
      <c r="AG21">
        <f t="shared" si="15"/>
        <v>36.138621999185304</v>
      </c>
      <c r="AH21">
        <f t="shared" si="16"/>
        <v>7.2111025509279782</v>
      </c>
      <c r="AI21">
        <f t="shared" si="17"/>
        <v>0</v>
      </c>
      <c r="AJ21">
        <f t="shared" si="18"/>
        <v>34.058772731852805</v>
      </c>
      <c r="AK21">
        <f t="shared" si="19"/>
        <v>41.340053217188775</v>
      </c>
      <c r="AL21">
        <f t="shared" si="20"/>
        <v>43.416586692184822</v>
      </c>
      <c r="AM21">
        <f t="shared" si="21"/>
        <v>45.011109739707599</v>
      </c>
      <c r="AN21">
        <f t="shared" si="22"/>
        <v>55.036351623268054</v>
      </c>
      <c r="AO21">
        <f t="shared" si="23"/>
        <v>43.185645763378368</v>
      </c>
      <c r="AP21">
        <f t="shared" si="24"/>
        <v>58.189346103904619</v>
      </c>
      <c r="AQ21">
        <f t="shared" si="25"/>
        <v>62.649820430708338</v>
      </c>
      <c r="AR21">
        <f t="shared" si="26"/>
        <v>35.014282800023196</v>
      </c>
      <c r="AS21">
        <f t="shared" si="27"/>
        <v>51</v>
      </c>
      <c r="AT21">
        <f t="shared" si="28"/>
        <v>27.459060435491963</v>
      </c>
      <c r="AU21">
        <f t="shared" si="29"/>
        <v>28.301943396169811</v>
      </c>
      <c r="AV21">
        <f t="shared" si="30"/>
        <v>104.00480758118829</v>
      </c>
      <c r="AW21">
        <f t="shared" si="31"/>
        <v>95.351979528481735</v>
      </c>
      <c r="AX21">
        <f t="shared" si="34"/>
        <v>100.12991560967181</v>
      </c>
      <c r="AY21">
        <f t="shared" si="35"/>
        <v>89.050547443572739</v>
      </c>
      <c r="AZ21">
        <f t="shared" si="36"/>
        <v>93.048374515624943</v>
      </c>
      <c r="BA21">
        <f t="shared" si="37"/>
        <v>85.164546614186818</v>
      </c>
      <c r="BB21">
        <f t="shared" si="38"/>
        <v>101.13851887386922</v>
      </c>
      <c r="BC21">
        <f t="shared" si="39"/>
        <v>114.15778554264269</v>
      </c>
      <c r="BD21">
        <f t="shared" si="40"/>
        <v>65.192024052026483</v>
      </c>
      <c r="BE21">
        <f t="shared" si="41"/>
        <v>111.61093136427094</v>
      </c>
      <c r="BF21">
        <f t="shared" si="32"/>
        <v>114.76819727485061</v>
      </c>
    </row>
    <row r="22" spans="1:58">
      <c r="A22" s="42"/>
      <c r="B22" s="45">
        <v>19</v>
      </c>
      <c r="C22">
        <f>Rand!P15</f>
        <v>582729</v>
      </c>
      <c r="D22">
        <f>Rand!Q15</f>
        <v>600951</v>
      </c>
      <c r="P22" s="45">
        <v>19</v>
      </c>
      <c r="Q22">
        <f t="shared" si="33"/>
        <v>93.385998233741176</v>
      </c>
      <c r="R22" s="13">
        <f t="shared" si="0"/>
        <v>78.057670987546118</v>
      </c>
      <c r="S22" s="13">
        <f t="shared" si="1"/>
        <v>52.354560450833695</v>
      </c>
      <c r="T22" s="13">
        <f t="shared" si="2"/>
        <v>52.086466572421671</v>
      </c>
      <c r="U22" s="13">
        <f t="shared" si="3"/>
        <v>80.324342512092812</v>
      </c>
      <c r="V22" s="13">
        <f t="shared" si="4"/>
        <v>83.096329642168911</v>
      </c>
      <c r="W22" s="13">
        <f t="shared" si="5"/>
        <v>44.911023145771239</v>
      </c>
      <c r="X22" s="13">
        <f t="shared" si="6"/>
        <v>85.440037453175307</v>
      </c>
      <c r="Y22" s="13">
        <f t="shared" si="7"/>
        <v>58.821764679410968</v>
      </c>
      <c r="Z22">
        <f t="shared" si="8"/>
        <v>45.276925690687087</v>
      </c>
      <c r="AA22">
        <f t="shared" si="9"/>
        <v>42.296571965113202</v>
      </c>
      <c r="AB22">
        <f t="shared" si="10"/>
        <v>10.04987562112089</v>
      </c>
      <c r="AC22">
        <f t="shared" si="11"/>
        <v>13.341664064126334</v>
      </c>
      <c r="AD22">
        <f t="shared" si="12"/>
        <v>41.012193308819754</v>
      </c>
      <c r="AE22">
        <f t="shared" si="13"/>
        <v>13.152946437965905</v>
      </c>
      <c r="AF22">
        <f t="shared" si="14"/>
        <v>23.086792761230392</v>
      </c>
      <c r="AG22">
        <f t="shared" si="15"/>
        <v>7.0710678118654755</v>
      </c>
      <c r="AH22">
        <f t="shared" si="16"/>
        <v>28.071337695236398</v>
      </c>
      <c r="AI22">
        <f t="shared" si="17"/>
        <v>34.058772731852805</v>
      </c>
      <c r="AJ22">
        <f t="shared" si="18"/>
        <v>0</v>
      </c>
      <c r="AK22">
        <f t="shared" si="19"/>
        <v>35.114099732158877</v>
      </c>
      <c r="AL22">
        <f t="shared" si="20"/>
        <v>36.674241641784498</v>
      </c>
      <c r="AM22">
        <f t="shared" si="21"/>
        <v>57.428216061444921</v>
      </c>
      <c r="AN22">
        <f t="shared" si="22"/>
        <v>67.416615162732697</v>
      </c>
      <c r="AO22">
        <f t="shared" si="23"/>
        <v>58.898217290508889</v>
      </c>
      <c r="AP22">
        <f t="shared" si="24"/>
        <v>58.940648113165501</v>
      </c>
      <c r="AQ22">
        <f t="shared" si="25"/>
        <v>59.539902586416787</v>
      </c>
      <c r="AR22">
        <f t="shared" si="26"/>
        <v>50.931326312987373</v>
      </c>
      <c r="AS22">
        <f t="shared" si="27"/>
        <v>48.052055106935853</v>
      </c>
      <c r="AT22">
        <f t="shared" si="28"/>
        <v>48.60041152089147</v>
      </c>
      <c r="AU22">
        <f t="shared" si="29"/>
        <v>32.202484376209235</v>
      </c>
      <c r="AV22">
        <f t="shared" si="30"/>
        <v>111.01801655587259</v>
      </c>
      <c r="AW22">
        <f t="shared" si="31"/>
        <v>97.672923576598237</v>
      </c>
      <c r="AX22">
        <f t="shared" si="34"/>
        <v>102.77159140540736</v>
      </c>
      <c r="AY22">
        <f t="shared" si="35"/>
        <v>96.135321292436529</v>
      </c>
      <c r="AZ22">
        <f t="shared" si="36"/>
        <v>101.95096860746347</v>
      </c>
      <c r="BA22">
        <f t="shared" si="37"/>
        <v>84.717176534631989</v>
      </c>
      <c r="BB22">
        <f t="shared" si="38"/>
        <v>100.40418317978589</v>
      </c>
      <c r="BC22">
        <f t="shared" si="39"/>
        <v>122.70289320142373</v>
      </c>
      <c r="BD22">
        <f t="shared" si="40"/>
        <v>77.52418977325722</v>
      </c>
      <c r="BE22">
        <f t="shared" si="41"/>
        <v>111.44954015158609</v>
      </c>
      <c r="BF22">
        <f t="shared" si="32"/>
        <v>125.11628968970192</v>
      </c>
    </row>
    <row r="23" spans="1:58">
      <c r="A23" s="42"/>
      <c r="B23" s="45">
        <v>20</v>
      </c>
      <c r="C23">
        <f>Rand!P20</f>
        <v>582696</v>
      </c>
      <c r="D23">
        <f>Rand!Q20</f>
        <v>600939</v>
      </c>
      <c r="P23" s="45">
        <v>20</v>
      </c>
      <c r="Q23">
        <f t="shared" si="33"/>
        <v>58.340060216936259</v>
      </c>
      <c r="R23" s="13">
        <f t="shared" si="0"/>
        <v>45.891175622335062</v>
      </c>
      <c r="S23" s="13">
        <f t="shared" si="1"/>
        <v>18.384776310850235</v>
      </c>
      <c r="T23" s="13">
        <f t="shared" si="2"/>
        <v>21.023796041628639</v>
      </c>
      <c r="U23" s="13">
        <f t="shared" si="3"/>
        <v>45.221676218380054</v>
      </c>
      <c r="V23" s="13">
        <f t="shared" si="4"/>
        <v>52.497618993626752</v>
      </c>
      <c r="W23" s="13">
        <f t="shared" si="5"/>
        <v>11.401754250991379</v>
      </c>
      <c r="X23" s="13">
        <f t="shared" si="6"/>
        <v>50.447993022517757</v>
      </c>
      <c r="Y23" s="13">
        <f t="shared" si="7"/>
        <v>26.627053911388696</v>
      </c>
      <c r="Z23">
        <f t="shared" si="8"/>
        <v>12.529964086141668</v>
      </c>
      <c r="AA23">
        <f t="shared" si="9"/>
        <v>19.235384061671343</v>
      </c>
      <c r="AB23">
        <f t="shared" si="10"/>
        <v>25.495097567963924</v>
      </c>
      <c r="AC23">
        <f t="shared" si="11"/>
        <v>46.872166581031863</v>
      </c>
      <c r="AD23">
        <f t="shared" si="12"/>
        <v>17.464249196572979</v>
      </c>
      <c r="AE23">
        <f t="shared" si="13"/>
        <v>35.014282800023196</v>
      </c>
      <c r="AF23">
        <f t="shared" si="14"/>
        <v>12.083045973594572</v>
      </c>
      <c r="AG23">
        <f t="shared" si="15"/>
        <v>29.068883707497267</v>
      </c>
      <c r="AH23">
        <f t="shared" si="16"/>
        <v>34.885527085024819</v>
      </c>
      <c r="AI23">
        <f t="shared" si="17"/>
        <v>41.340053217188775</v>
      </c>
      <c r="AJ23">
        <f t="shared" si="18"/>
        <v>35.114099732158877</v>
      </c>
      <c r="AK23">
        <f t="shared" si="19"/>
        <v>0</v>
      </c>
      <c r="AL23">
        <f t="shared" si="20"/>
        <v>69.18092222571191</v>
      </c>
      <c r="AM23">
        <f t="shared" si="21"/>
        <v>82.710337927008865</v>
      </c>
      <c r="AN23">
        <f t="shared" si="22"/>
        <v>93.145048177560142</v>
      </c>
      <c r="AO23">
        <f t="shared" si="23"/>
        <v>82.219219164377861</v>
      </c>
      <c r="AP23">
        <f t="shared" si="24"/>
        <v>90.049986118821806</v>
      </c>
      <c r="AQ23">
        <f t="shared" si="25"/>
        <v>92.086915465770701</v>
      </c>
      <c r="AR23">
        <f t="shared" si="26"/>
        <v>73.681748079154588</v>
      </c>
      <c r="AS23">
        <f t="shared" si="27"/>
        <v>80.02499609497022</v>
      </c>
      <c r="AT23">
        <f t="shared" si="28"/>
        <v>67.623960250786851</v>
      </c>
      <c r="AU23">
        <f t="shared" si="29"/>
        <v>59.413803110051795</v>
      </c>
      <c r="AV23">
        <f t="shared" si="30"/>
        <v>140.57738082636197</v>
      </c>
      <c r="AW23">
        <f t="shared" si="31"/>
        <v>129.1394595001853</v>
      </c>
      <c r="AX23">
        <f t="shared" si="34"/>
        <v>134.18271125595876</v>
      </c>
      <c r="AY23">
        <f t="shared" si="35"/>
        <v>125.44720004846661</v>
      </c>
      <c r="AZ23">
        <f t="shared" si="36"/>
        <v>130.41855696180662</v>
      </c>
      <c r="BA23">
        <f t="shared" si="37"/>
        <v>117.00427342623003</v>
      </c>
      <c r="BB23">
        <f t="shared" si="38"/>
        <v>133.0338302838793</v>
      </c>
      <c r="BC23">
        <f t="shared" si="39"/>
        <v>151.60804727981954</v>
      </c>
      <c r="BD23">
        <f t="shared" si="40"/>
        <v>103.58088626768937</v>
      </c>
      <c r="BE23">
        <f t="shared" si="41"/>
        <v>144.01388821915754</v>
      </c>
      <c r="BF23">
        <f t="shared" si="32"/>
        <v>153.05329119530938</v>
      </c>
    </row>
    <row r="24" spans="1:58">
      <c r="A24" s="42"/>
      <c r="B24" s="45">
        <v>21</v>
      </c>
      <c r="C24">
        <f>Rand!P28</f>
        <v>582765</v>
      </c>
      <c r="D24">
        <f>Rand!Q28</f>
        <v>600944</v>
      </c>
      <c r="P24" s="45">
        <v>21</v>
      </c>
      <c r="Q24">
        <f t="shared" si="33"/>
        <v>125.52863372995283</v>
      </c>
      <c r="R24" s="13">
        <f t="shared" si="0"/>
        <v>114.0701538527936</v>
      </c>
      <c r="S24" s="13">
        <f t="shared" si="1"/>
        <v>83.952367447261423</v>
      </c>
      <c r="T24" s="13">
        <f t="shared" si="2"/>
        <v>88.090862182180956</v>
      </c>
      <c r="U24" s="13">
        <f t="shared" si="3"/>
        <v>113.6001760562016</v>
      </c>
      <c r="V24" s="13">
        <f t="shared" si="4"/>
        <v>119.50732195141852</v>
      </c>
      <c r="W24" s="13">
        <f t="shared" si="5"/>
        <v>80.02499609497022</v>
      </c>
      <c r="X24" s="13">
        <f t="shared" si="6"/>
        <v>119.21828718783037</v>
      </c>
      <c r="Y24" s="13">
        <f t="shared" si="7"/>
        <v>88.232647019116456</v>
      </c>
      <c r="Z24">
        <f t="shared" si="8"/>
        <v>76.687678280151374</v>
      </c>
      <c r="AA24">
        <f t="shared" si="9"/>
        <v>78.917678627795439</v>
      </c>
      <c r="AB24">
        <f t="shared" si="10"/>
        <v>46.389654018972806</v>
      </c>
      <c r="AC24">
        <f t="shared" si="11"/>
        <v>23.345235059857504</v>
      </c>
      <c r="AD24">
        <f t="shared" si="12"/>
        <v>68.622153857191051</v>
      </c>
      <c r="AE24">
        <f t="shared" si="13"/>
        <v>34.525353003264136</v>
      </c>
      <c r="AF24">
        <f t="shared" si="14"/>
        <v>58</v>
      </c>
      <c r="AG24">
        <f t="shared" si="15"/>
        <v>43.737855457258078</v>
      </c>
      <c r="AH24">
        <f t="shared" si="16"/>
        <v>43.416586692184822</v>
      </c>
      <c r="AI24">
        <f t="shared" si="17"/>
        <v>43.416586692184822</v>
      </c>
      <c r="AJ24">
        <f t="shared" si="18"/>
        <v>36.674241641784498</v>
      </c>
      <c r="AK24">
        <f t="shared" si="19"/>
        <v>69.18092222571191</v>
      </c>
      <c r="AL24">
        <f t="shared" si="20"/>
        <v>0</v>
      </c>
      <c r="AM24">
        <f t="shared" si="21"/>
        <v>28.231188426986208</v>
      </c>
      <c r="AN24">
        <f t="shared" si="22"/>
        <v>35.805027579936315</v>
      </c>
      <c r="AO24">
        <f t="shared" si="23"/>
        <v>32.280024783137947</v>
      </c>
      <c r="AP24">
        <f t="shared" si="24"/>
        <v>22.472205054244231</v>
      </c>
      <c r="AQ24">
        <f t="shared" si="25"/>
        <v>23.021728866442675</v>
      </c>
      <c r="AR24">
        <f t="shared" si="26"/>
        <v>28.0178514522438</v>
      </c>
      <c r="AS24">
        <f t="shared" si="27"/>
        <v>11.401754250991379</v>
      </c>
      <c r="AT24">
        <f t="shared" si="28"/>
        <v>32.756678708318397</v>
      </c>
      <c r="AU24">
        <f t="shared" si="29"/>
        <v>15.620499351813308</v>
      </c>
      <c r="AV24">
        <f t="shared" si="30"/>
        <v>74.672618810377884</v>
      </c>
      <c r="AW24">
        <f t="shared" si="31"/>
        <v>61</v>
      </c>
      <c r="AX24">
        <f t="shared" si="34"/>
        <v>66.098411478642959</v>
      </c>
      <c r="AY24">
        <f t="shared" si="35"/>
        <v>60.00833275470999</v>
      </c>
      <c r="AZ24">
        <f t="shared" si="36"/>
        <v>66.189122973491649</v>
      </c>
      <c r="BA24">
        <f t="shared" si="37"/>
        <v>48.166378315169183</v>
      </c>
      <c r="BB24">
        <f t="shared" si="38"/>
        <v>64.031242374328485</v>
      </c>
      <c r="BC24">
        <f t="shared" si="39"/>
        <v>86.539008545279742</v>
      </c>
      <c r="BD24">
        <f t="shared" si="40"/>
        <v>44.553338819890925</v>
      </c>
      <c r="BE24">
        <f t="shared" si="41"/>
        <v>75.059976019180823</v>
      </c>
      <c r="BF24">
        <f t="shared" si="32"/>
        <v>89.378430987121533</v>
      </c>
    </row>
    <row r="25" spans="1:58">
      <c r="A25" s="42"/>
      <c r="B25" s="45">
        <v>22</v>
      </c>
      <c r="C25">
        <f>Rand!P26</f>
        <v>582776</v>
      </c>
      <c r="D25">
        <f>Rand!Q26</f>
        <v>600918</v>
      </c>
      <c r="P25" s="45">
        <v>22</v>
      </c>
      <c r="Q25">
        <f t="shared" si="33"/>
        <v>133.12476391005407</v>
      </c>
      <c r="R25" s="13">
        <f t="shared" si="0"/>
        <v>128.54960132182441</v>
      </c>
      <c r="S25" s="13">
        <f t="shared" si="1"/>
        <v>93.343451832466528</v>
      </c>
      <c r="T25" s="13">
        <f t="shared" si="2"/>
        <v>103.4456378974</v>
      </c>
      <c r="U25" s="13">
        <f t="shared" si="3"/>
        <v>123.1990259701756</v>
      </c>
      <c r="V25" s="13">
        <f t="shared" si="4"/>
        <v>135.16286472252651</v>
      </c>
      <c r="W25" s="13">
        <f t="shared" si="5"/>
        <v>94.111635837445732</v>
      </c>
      <c r="X25" s="13">
        <f t="shared" si="6"/>
        <v>129.31357237351384</v>
      </c>
      <c r="Y25" s="13">
        <f t="shared" si="7"/>
        <v>95.005263012108969</v>
      </c>
      <c r="Z25">
        <f t="shared" si="8"/>
        <v>86.579443287653447</v>
      </c>
      <c r="AA25">
        <f t="shared" si="9"/>
        <v>96.772930099279307</v>
      </c>
      <c r="AB25">
        <f t="shared" si="10"/>
        <v>65.36818798161687</v>
      </c>
      <c r="AC25">
        <f t="shared" si="11"/>
        <v>45.343136195018538</v>
      </c>
      <c r="AD25">
        <f t="shared" si="12"/>
        <v>76.105190361761785</v>
      </c>
      <c r="AE25">
        <f t="shared" si="13"/>
        <v>49.244289008980523</v>
      </c>
      <c r="AF25">
        <f t="shared" si="14"/>
        <v>73.736015623303103</v>
      </c>
      <c r="AG25">
        <f t="shared" si="15"/>
        <v>63.812224534175265</v>
      </c>
      <c r="AH25">
        <f t="shared" si="16"/>
        <v>49.254441424099006</v>
      </c>
      <c r="AI25">
        <f t="shared" si="17"/>
        <v>45.011109739707599</v>
      </c>
      <c r="AJ25">
        <f t="shared" si="18"/>
        <v>57.428216061444921</v>
      </c>
      <c r="AK25">
        <f t="shared" si="19"/>
        <v>82.710337927008865</v>
      </c>
      <c r="AL25">
        <f t="shared" si="20"/>
        <v>28.231188426986208</v>
      </c>
      <c r="AM25">
        <f t="shared" si="21"/>
        <v>0</v>
      </c>
      <c r="AN25">
        <f t="shared" si="22"/>
        <v>10.440306508910551</v>
      </c>
      <c r="AO25">
        <f t="shared" si="23"/>
        <v>5.3851648071345037</v>
      </c>
      <c r="AP25">
        <f t="shared" si="24"/>
        <v>20.591260281974002</v>
      </c>
      <c r="AQ25">
        <f t="shared" si="25"/>
        <v>27.730849247724095</v>
      </c>
      <c r="AR25">
        <f t="shared" si="26"/>
        <v>10.198039027185569</v>
      </c>
      <c r="AS25">
        <f t="shared" si="27"/>
        <v>23</v>
      </c>
      <c r="AT25">
        <f t="shared" si="28"/>
        <v>18.973665961010276</v>
      </c>
      <c r="AU25">
        <f t="shared" si="29"/>
        <v>25.238858928247925</v>
      </c>
      <c r="AV25">
        <f t="shared" si="30"/>
        <v>59</v>
      </c>
      <c r="AW25">
        <f t="shared" si="31"/>
        <v>51.244511901275828</v>
      </c>
      <c r="AX25">
        <f t="shared" si="34"/>
        <v>55.785302723925412</v>
      </c>
      <c r="AY25">
        <f t="shared" si="35"/>
        <v>44.045431091090478</v>
      </c>
      <c r="AZ25">
        <f t="shared" si="36"/>
        <v>48.166378315169183</v>
      </c>
      <c r="BA25">
        <f t="shared" si="37"/>
        <v>43.046486500061768</v>
      </c>
      <c r="BB25">
        <f t="shared" si="38"/>
        <v>58.180752831155424</v>
      </c>
      <c r="BC25">
        <f t="shared" si="39"/>
        <v>69.354163537598808</v>
      </c>
      <c r="BD25">
        <f t="shared" si="40"/>
        <v>20.880613017821101</v>
      </c>
      <c r="BE25">
        <f t="shared" si="41"/>
        <v>68.007352543677214</v>
      </c>
      <c r="BF25">
        <f t="shared" si="32"/>
        <v>70.412224263414586</v>
      </c>
    </row>
    <row r="26" spans="1:58">
      <c r="A26" s="42"/>
      <c r="B26" s="45">
        <v>23</v>
      </c>
      <c r="C26">
        <f>Rand!P31</f>
        <v>582786</v>
      </c>
      <c r="D26">
        <f>Rand!Q31</f>
        <v>600915</v>
      </c>
      <c r="P26" s="45">
        <v>23</v>
      </c>
      <c r="Q26">
        <f t="shared" si="33"/>
        <v>143.08655277875212</v>
      </c>
      <c r="R26" s="13">
        <f t="shared" si="0"/>
        <v>138.97481786280562</v>
      </c>
      <c r="S26" s="13">
        <f t="shared" si="1"/>
        <v>103.58571330062848</v>
      </c>
      <c r="T26" s="13">
        <f t="shared" si="2"/>
        <v>113.88590782006349</v>
      </c>
      <c r="U26" s="13">
        <f t="shared" si="3"/>
        <v>133.37541002748594</v>
      </c>
      <c r="V26" s="13">
        <f t="shared" si="4"/>
        <v>145.60219778561037</v>
      </c>
      <c r="W26" s="13">
        <f t="shared" si="5"/>
        <v>104.54664030948101</v>
      </c>
      <c r="X26" s="13">
        <f t="shared" si="6"/>
        <v>139.51702405083043</v>
      </c>
      <c r="Y26" s="13">
        <f t="shared" si="7"/>
        <v>105.01904589168576</v>
      </c>
      <c r="Z26">
        <f t="shared" si="8"/>
        <v>96.876209669866839</v>
      </c>
      <c r="AA26">
        <f t="shared" si="9"/>
        <v>107.15409464878138</v>
      </c>
      <c r="AB26">
        <f t="shared" si="10"/>
        <v>75.591004755857028</v>
      </c>
      <c r="AC26">
        <f t="shared" si="11"/>
        <v>55</v>
      </c>
      <c r="AD26">
        <f t="shared" si="12"/>
        <v>86.284413424441851</v>
      </c>
      <c r="AE26">
        <f t="shared" si="13"/>
        <v>59.615434243155519</v>
      </c>
      <c r="AF26">
        <f t="shared" si="14"/>
        <v>84.15461959987698</v>
      </c>
      <c r="AG26">
        <f t="shared" si="15"/>
        <v>73.925638313104884</v>
      </c>
      <c r="AH26">
        <f t="shared" si="16"/>
        <v>59.539902586416787</v>
      </c>
      <c r="AI26">
        <f t="shared" si="17"/>
        <v>55.036351623268054</v>
      </c>
      <c r="AJ26">
        <f t="shared" si="18"/>
        <v>67.416615162732697</v>
      </c>
      <c r="AK26">
        <f t="shared" si="19"/>
        <v>93.145048177560142</v>
      </c>
      <c r="AL26">
        <f t="shared" si="20"/>
        <v>35.805027579936315</v>
      </c>
      <c r="AM26">
        <f t="shared" si="21"/>
        <v>10.440306508910551</v>
      </c>
      <c r="AN26">
        <f t="shared" si="22"/>
        <v>0</v>
      </c>
      <c r="AO26">
        <f t="shared" si="23"/>
        <v>12.165525060596439</v>
      </c>
      <c r="AP26">
        <f t="shared" si="24"/>
        <v>21</v>
      </c>
      <c r="AQ26">
        <f t="shared" si="25"/>
        <v>28.071337695236398</v>
      </c>
      <c r="AR26">
        <f t="shared" si="26"/>
        <v>20.024984394500787</v>
      </c>
      <c r="AS26">
        <f t="shared" si="27"/>
        <v>27.856776554368238</v>
      </c>
      <c r="AT26">
        <f t="shared" si="28"/>
        <v>28.160255680657446</v>
      </c>
      <c r="AU26">
        <f t="shared" si="29"/>
        <v>35.355339059327378</v>
      </c>
      <c r="AV26">
        <f t="shared" si="30"/>
        <v>49.091750834534309</v>
      </c>
      <c r="AW26">
        <f t="shared" si="31"/>
        <v>42.953463189829058</v>
      </c>
      <c r="AX26">
        <f t="shared" si="34"/>
        <v>47.169905660283021</v>
      </c>
      <c r="AY26">
        <f t="shared" si="35"/>
        <v>34.365680554879162</v>
      </c>
      <c r="AZ26">
        <f t="shared" si="36"/>
        <v>38.013155617496423</v>
      </c>
      <c r="BA26">
        <f t="shared" si="37"/>
        <v>36.796738985948195</v>
      </c>
      <c r="BB26">
        <f t="shared" si="38"/>
        <v>50.774009099144415</v>
      </c>
      <c r="BC26">
        <f t="shared" si="39"/>
        <v>59.135437767890075</v>
      </c>
      <c r="BD26">
        <f t="shared" si="40"/>
        <v>10.440306508910551</v>
      </c>
      <c r="BE26">
        <f t="shared" si="41"/>
        <v>59.933296255086788</v>
      </c>
      <c r="BF26">
        <f t="shared" si="32"/>
        <v>60.027286009964328</v>
      </c>
    </row>
    <row r="27" spans="1:58">
      <c r="A27" s="42"/>
      <c r="B27" s="45">
        <v>24</v>
      </c>
      <c r="C27">
        <f>Rand!P30</f>
        <v>582774</v>
      </c>
      <c r="D27">
        <f>Rand!Q30</f>
        <v>600913</v>
      </c>
      <c r="P27" s="45">
        <v>24</v>
      </c>
      <c r="Q27">
        <f t="shared" si="33"/>
        <v>131.09884738664888</v>
      </c>
      <c r="R27" s="13">
        <f t="shared" si="0"/>
        <v>127.88275880665071</v>
      </c>
      <c r="S27" s="13">
        <f t="shared" si="1"/>
        <v>91.923881554251182</v>
      </c>
      <c r="T27" s="13">
        <f t="shared" si="2"/>
        <v>103.12128781197411</v>
      </c>
      <c r="U27" s="13">
        <f t="shared" si="3"/>
        <v>121.59358535712317</v>
      </c>
      <c r="V27" s="13">
        <f t="shared" si="4"/>
        <v>134.71451295239129</v>
      </c>
      <c r="W27" s="13">
        <f t="shared" si="5"/>
        <v>93.605555390692487</v>
      </c>
      <c r="X27" s="13">
        <f t="shared" si="6"/>
        <v>127.76932339180638</v>
      </c>
      <c r="Y27" s="13">
        <f t="shared" si="7"/>
        <v>93.085981758801893</v>
      </c>
      <c r="Z27">
        <f t="shared" si="8"/>
        <v>85.328775919967356</v>
      </c>
      <c r="AA27">
        <f t="shared" si="9"/>
        <v>97.04638066409278</v>
      </c>
      <c r="AB27">
        <f t="shared" si="10"/>
        <v>66.2872536767062</v>
      </c>
      <c r="AC27">
        <f t="shared" si="11"/>
        <v>47.423622805517503</v>
      </c>
      <c r="AD27">
        <f t="shared" si="12"/>
        <v>74.545288248151536</v>
      </c>
      <c r="AE27">
        <f t="shared" si="13"/>
        <v>49.739320461783549</v>
      </c>
      <c r="AF27">
        <f t="shared" si="14"/>
        <v>73.824115301166998</v>
      </c>
      <c r="AG27">
        <f t="shared" si="15"/>
        <v>65</v>
      </c>
      <c r="AH27">
        <f t="shared" si="16"/>
        <v>48.052055106935853</v>
      </c>
      <c r="AI27">
        <f t="shared" si="17"/>
        <v>43.185645763378368</v>
      </c>
      <c r="AJ27">
        <f t="shared" si="18"/>
        <v>58.898217290508889</v>
      </c>
      <c r="AK27">
        <f t="shared" si="19"/>
        <v>82.219219164377861</v>
      </c>
      <c r="AL27">
        <f t="shared" si="20"/>
        <v>32.280024783137947</v>
      </c>
      <c r="AM27">
        <f t="shared" si="21"/>
        <v>5.3851648071345037</v>
      </c>
      <c r="AN27">
        <f t="shared" si="22"/>
        <v>12.165525060596439</v>
      </c>
      <c r="AO27">
        <f t="shared" si="23"/>
        <v>0</v>
      </c>
      <c r="AP27">
        <f t="shared" si="24"/>
        <v>25.942243542145693</v>
      </c>
      <c r="AQ27">
        <f t="shared" si="25"/>
        <v>33.105890714493697</v>
      </c>
      <c r="AR27">
        <f t="shared" si="26"/>
        <v>8.5440037453175304</v>
      </c>
      <c r="AS27">
        <f t="shared" si="27"/>
        <v>28.071337695236398</v>
      </c>
      <c r="AT27">
        <f t="shared" si="28"/>
        <v>16.031219541881399</v>
      </c>
      <c r="AU27">
        <f t="shared" si="29"/>
        <v>26.870057685088806</v>
      </c>
      <c r="AV27">
        <f t="shared" si="30"/>
        <v>61.204574992397426</v>
      </c>
      <c r="AW27">
        <f t="shared" si="31"/>
        <v>54.78138369920935</v>
      </c>
      <c r="AX27">
        <f t="shared" si="34"/>
        <v>59.135437767890075</v>
      </c>
      <c r="AY27">
        <f t="shared" si="35"/>
        <v>46.529560496527367</v>
      </c>
      <c r="AZ27">
        <f t="shared" si="36"/>
        <v>50.009999000199947</v>
      </c>
      <c r="BA27">
        <f t="shared" si="37"/>
        <v>47.434164902525687</v>
      </c>
      <c r="BB27">
        <f t="shared" si="38"/>
        <v>62.177166226839255</v>
      </c>
      <c r="BC27">
        <f t="shared" si="39"/>
        <v>71.028163428319047</v>
      </c>
      <c r="BD27">
        <f t="shared" si="40"/>
        <v>22.022715545545239</v>
      </c>
      <c r="BE27">
        <f t="shared" si="41"/>
        <v>71.693793315739683</v>
      </c>
      <c r="BF27">
        <f t="shared" si="32"/>
        <v>71.594337665219768</v>
      </c>
    </row>
    <row r="28" spans="1:58">
      <c r="B28" s="45">
        <v>25</v>
      </c>
      <c r="C28">
        <f>Rand!P22</f>
        <v>582786</v>
      </c>
      <c r="D28">
        <f>Rand!Q22</f>
        <v>600936</v>
      </c>
      <c r="P28" s="45">
        <v>25</v>
      </c>
      <c r="Q28">
        <f t="shared" si="33"/>
        <v>144.64767072478745</v>
      </c>
      <c r="R28" s="13">
        <f t="shared" si="0"/>
        <v>135.53228397691819</v>
      </c>
      <c r="S28" s="13">
        <f t="shared" si="1"/>
        <v>103.4842983258813</v>
      </c>
      <c r="T28" s="13">
        <f t="shared" si="2"/>
        <v>109.65856099730654</v>
      </c>
      <c r="U28" s="13">
        <f t="shared" si="3"/>
        <v>133.45411196362591</v>
      </c>
      <c r="V28" s="13">
        <f t="shared" si="4"/>
        <v>141.2834031300209</v>
      </c>
      <c r="W28" s="13">
        <f t="shared" si="5"/>
        <v>101.17806086301516</v>
      </c>
      <c r="X28" s="13">
        <f t="shared" si="6"/>
        <v>139.29106216839614</v>
      </c>
      <c r="Y28" s="13">
        <f t="shared" si="7"/>
        <v>106.70520137275409</v>
      </c>
      <c r="Z28">
        <f t="shared" si="8"/>
        <v>96.332756630338366</v>
      </c>
      <c r="AA28">
        <f t="shared" si="9"/>
        <v>101</v>
      </c>
      <c r="AB28">
        <f t="shared" si="10"/>
        <v>68.447059834590405</v>
      </c>
      <c r="AC28">
        <f t="shared" si="11"/>
        <v>45.607017003965517</v>
      </c>
      <c r="AD28">
        <f t="shared" si="12"/>
        <v>87.13208364316786</v>
      </c>
      <c r="AE28">
        <f t="shared" si="13"/>
        <v>55.036351623268054</v>
      </c>
      <c r="AF28">
        <f t="shared" si="14"/>
        <v>79.404030124421269</v>
      </c>
      <c r="AG28">
        <f t="shared" si="15"/>
        <v>65.969690009882569</v>
      </c>
      <c r="AH28">
        <f t="shared" si="16"/>
        <v>60.415229867972862</v>
      </c>
      <c r="AI28">
        <f t="shared" si="17"/>
        <v>58.189346103904619</v>
      </c>
      <c r="AJ28">
        <f t="shared" si="18"/>
        <v>58.940648113165501</v>
      </c>
      <c r="AK28">
        <f t="shared" si="19"/>
        <v>90.049986118821806</v>
      </c>
      <c r="AL28">
        <f t="shared" si="20"/>
        <v>22.472205054244231</v>
      </c>
      <c r="AM28">
        <f t="shared" si="21"/>
        <v>20.591260281974002</v>
      </c>
      <c r="AN28">
        <f t="shared" si="22"/>
        <v>21</v>
      </c>
      <c r="AO28">
        <f>SQRT((($C44-$C$27)^2)+(($D44-$D$27)^2))</f>
        <v>71.594337665219768</v>
      </c>
      <c r="AP28">
        <f t="shared" si="24"/>
        <v>0</v>
      </c>
      <c r="AQ28">
        <f t="shared" si="25"/>
        <v>7.2801098892805181</v>
      </c>
      <c r="AR28">
        <f t="shared" si="26"/>
        <v>28.284271247461902</v>
      </c>
      <c r="AS28">
        <f t="shared" si="27"/>
        <v>11.180339887498949</v>
      </c>
      <c r="AT28">
        <f t="shared" si="28"/>
        <v>36.878177829171548</v>
      </c>
      <c r="AU28">
        <f t="shared" si="29"/>
        <v>31.256999216175569</v>
      </c>
      <c r="AV28">
        <f t="shared" si="30"/>
        <v>52.201532544552748</v>
      </c>
      <c r="AW28">
        <f t="shared" si="31"/>
        <v>39.11521443121589</v>
      </c>
      <c r="AX28">
        <f t="shared" si="34"/>
        <v>44.181444068749045</v>
      </c>
      <c r="AY28">
        <f t="shared" si="35"/>
        <v>37.576588456111871</v>
      </c>
      <c r="AZ28">
        <f t="shared" si="36"/>
        <v>43.908996800200299</v>
      </c>
      <c r="BA28">
        <f t="shared" si="37"/>
        <v>27.294688127912362</v>
      </c>
      <c r="BB28">
        <f t="shared" si="38"/>
        <v>43.416586692184822</v>
      </c>
      <c r="BC28">
        <f t="shared" si="39"/>
        <v>64.078077374403179</v>
      </c>
      <c r="BD28">
        <f t="shared" si="40"/>
        <v>26</v>
      </c>
      <c r="BE28">
        <f t="shared" si="41"/>
        <v>54.230987451824994</v>
      </c>
      <c r="BF28">
        <f t="shared" si="32"/>
        <v>67.046441260674882</v>
      </c>
    </row>
    <row r="29" spans="1:58">
      <c r="B29" s="45">
        <v>26</v>
      </c>
      <c r="C29">
        <f>Rand!P29</f>
        <v>582788</v>
      </c>
      <c r="D29">
        <f>Rand!Q29</f>
        <v>600943</v>
      </c>
      <c r="P29" s="45">
        <v>26</v>
      </c>
      <c r="Q29">
        <f t="shared" si="33"/>
        <v>147.80062024939642</v>
      </c>
      <c r="R29" s="13">
        <f t="shared" si="0"/>
        <v>137.09121051329294</v>
      </c>
      <c r="S29" s="13">
        <f t="shared" si="1"/>
        <v>106.36728820459794</v>
      </c>
      <c r="T29" s="13">
        <f t="shared" si="2"/>
        <v>111.11255554616679</v>
      </c>
      <c r="U29" s="13">
        <f t="shared" si="3"/>
        <v>136.194713553794</v>
      </c>
      <c r="V29" s="13">
        <f t="shared" si="4"/>
        <v>142.50614021858848</v>
      </c>
      <c r="W29" s="13">
        <f t="shared" si="5"/>
        <v>103.00485425454472</v>
      </c>
      <c r="X29" s="13">
        <f t="shared" si="6"/>
        <v>141.90489773083945</v>
      </c>
      <c r="Y29" s="13">
        <f t="shared" si="7"/>
        <v>110.11357772772621</v>
      </c>
      <c r="Z29">
        <f t="shared" si="8"/>
        <v>99.141313285632847</v>
      </c>
      <c r="AA29">
        <f t="shared" si="9"/>
        <v>101.83319694480774</v>
      </c>
      <c r="AB29">
        <f t="shared" si="10"/>
        <v>69.354163537598808</v>
      </c>
      <c r="AC29">
        <f t="shared" si="11"/>
        <v>46.270941205037097</v>
      </c>
      <c r="AD29">
        <f t="shared" si="12"/>
        <v>90.470989825468365</v>
      </c>
      <c r="AE29">
        <f t="shared" si="13"/>
        <v>57.218878003679869</v>
      </c>
      <c r="AF29">
        <f t="shared" si="14"/>
        <v>81.006172604314543</v>
      </c>
      <c r="AG29">
        <f t="shared" si="15"/>
        <v>66.610809933523555</v>
      </c>
      <c r="AH29">
        <f t="shared" si="16"/>
        <v>64.195015382816138</v>
      </c>
      <c r="AI29">
        <f t="shared" si="17"/>
        <v>62.649820430708338</v>
      </c>
      <c r="AJ29">
        <f t="shared" si="18"/>
        <v>59.539902586416787</v>
      </c>
      <c r="AK29">
        <f t="shared" si="19"/>
        <v>92.086915465770701</v>
      </c>
      <c r="AL29">
        <f t="shared" si="20"/>
        <v>23.021728866442675</v>
      </c>
      <c r="AM29">
        <f t="shared" si="21"/>
        <v>27.730849247724095</v>
      </c>
      <c r="AN29">
        <f t="shared" si="22"/>
        <v>28.071337695236398</v>
      </c>
      <c r="AO29">
        <f t="shared" ref="AO29:AO44" si="42">SQRT((($C45-$C$27)^2)+(($D45-$D$27)^2))</f>
        <v>837091.37413128326</v>
      </c>
      <c r="AP29">
        <f t="shared" si="24"/>
        <v>7.2801098892805181</v>
      </c>
      <c r="AQ29">
        <f t="shared" si="25"/>
        <v>0</v>
      </c>
      <c r="AR29">
        <f t="shared" si="26"/>
        <v>34.828149534535996</v>
      </c>
      <c r="AS29">
        <f t="shared" si="27"/>
        <v>12.165525060596439</v>
      </c>
      <c r="AT29">
        <f t="shared" si="28"/>
        <v>43.139309220245984</v>
      </c>
      <c r="AU29">
        <f t="shared" si="29"/>
        <v>34.785054261852174</v>
      </c>
      <c r="AV29">
        <f t="shared" si="30"/>
        <v>53.235326616824658</v>
      </c>
      <c r="AW29">
        <f t="shared" si="31"/>
        <v>38.327535793473601</v>
      </c>
      <c r="AX29">
        <f t="shared" si="34"/>
        <v>43.416586692184822</v>
      </c>
      <c r="AY29">
        <f t="shared" si="35"/>
        <v>39.408120990476064</v>
      </c>
      <c r="AZ29">
        <f t="shared" si="36"/>
        <v>46.227697325304881</v>
      </c>
      <c r="BA29">
        <f t="shared" si="37"/>
        <v>25.179356624028344</v>
      </c>
      <c r="BB29">
        <f t="shared" si="38"/>
        <v>41.012193308819754</v>
      </c>
      <c r="BC29">
        <f t="shared" si="39"/>
        <v>65.36818798161687</v>
      </c>
      <c r="BD29">
        <f t="shared" si="40"/>
        <v>32.015621187164243</v>
      </c>
      <c r="BE29">
        <f t="shared" si="41"/>
        <v>52.038447325030752</v>
      </c>
      <c r="BF29">
        <f t="shared" si="32"/>
        <v>68.965970345677903</v>
      </c>
    </row>
    <row r="30" spans="1:58">
      <c r="B30" s="45">
        <v>27</v>
      </c>
      <c r="C30">
        <f>Rand!P23</f>
        <v>582766</v>
      </c>
      <c r="D30">
        <f>Rand!Q23</f>
        <v>600916</v>
      </c>
      <c r="P30" s="45">
        <v>27</v>
      </c>
      <c r="Q30">
        <f t="shared" si="33"/>
        <v>123.09222008765894</v>
      </c>
      <c r="R30" s="13">
        <f t="shared" si="0"/>
        <v>119.36917525056458</v>
      </c>
      <c r="S30" s="13">
        <f t="shared" si="1"/>
        <v>83.600239234107462</v>
      </c>
      <c r="T30" s="13">
        <f t="shared" si="2"/>
        <v>94.578010129204984</v>
      </c>
      <c r="U30" s="13">
        <f t="shared" si="3"/>
        <v>113.35784048754634</v>
      </c>
      <c r="V30" s="13">
        <f t="shared" si="4"/>
        <v>126.17844506887855</v>
      </c>
      <c r="W30" s="13">
        <f t="shared" si="5"/>
        <v>85.07055894961546</v>
      </c>
      <c r="X30" s="13">
        <f t="shared" si="6"/>
        <v>119.50732195141852</v>
      </c>
      <c r="Y30" s="13">
        <f t="shared" si="7"/>
        <v>85.005882149413637</v>
      </c>
      <c r="Z30">
        <f t="shared" si="8"/>
        <v>76.941536246685374</v>
      </c>
      <c r="AA30">
        <f t="shared" si="9"/>
        <v>88.549421229051518</v>
      </c>
      <c r="AB30">
        <f t="shared" si="10"/>
        <v>58.008620049092706</v>
      </c>
      <c r="AC30">
        <f t="shared" si="11"/>
        <v>40</v>
      </c>
      <c r="AD30">
        <f t="shared" si="12"/>
        <v>66.272166103123567</v>
      </c>
      <c r="AE30">
        <f t="shared" si="13"/>
        <v>41.340053217188775</v>
      </c>
      <c r="AF30">
        <f t="shared" si="14"/>
        <v>65.30696746902278</v>
      </c>
      <c r="AG30">
        <f t="shared" si="15"/>
        <v>56.850681614207581</v>
      </c>
      <c r="AH30">
        <f t="shared" si="16"/>
        <v>39.623225512317902</v>
      </c>
      <c r="AI30">
        <f t="shared" si="17"/>
        <v>35.014282800023196</v>
      </c>
      <c r="AJ30">
        <f t="shared" si="18"/>
        <v>50.931326312987373</v>
      </c>
      <c r="AK30">
        <f t="shared" si="19"/>
        <v>73.681748079154588</v>
      </c>
      <c r="AL30">
        <f t="shared" si="20"/>
        <v>28.0178514522438</v>
      </c>
      <c r="AM30">
        <f t="shared" si="21"/>
        <v>10.198039027185569</v>
      </c>
      <c r="AN30">
        <f t="shared" si="22"/>
        <v>20.024984394500787</v>
      </c>
      <c r="AO30">
        <f t="shared" si="42"/>
        <v>837091.37413128326</v>
      </c>
      <c r="AP30">
        <f t="shared" si="24"/>
        <v>28.284271247461902</v>
      </c>
      <c r="AQ30">
        <f t="shared" si="25"/>
        <v>34.828149534535996</v>
      </c>
      <c r="AR30">
        <f t="shared" si="26"/>
        <v>0</v>
      </c>
      <c r="AS30">
        <f t="shared" si="27"/>
        <v>26.92582403567252</v>
      </c>
      <c r="AT30">
        <f t="shared" si="28"/>
        <v>8.9442719099991592</v>
      </c>
      <c r="AU30">
        <f t="shared" si="29"/>
        <v>19.416487838947599</v>
      </c>
      <c r="AV30">
        <f t="shared" si="30"/>
        <v>69.028979421689272</v>
      </c>
      <c r="AW30">
        <f t="shared" si="31"/>
        <v>61.400325732035007</v>
      </c>
      <c r="AX30">
        <f t="shared" si="34"/>
        <v>65.969690009882569</v>
      </c>
      <c r="AY30">
        <f t="shared" si="35"/>
        <v>54.147945482723536</v>
      </c>
      <c r="AZ30">
        <f t="shared" si="36"/>
        <v>58.034472514187634</v>
      </c>
      <c r="BA30">
        <f t="shared" si="37"/>
        <v>52.773099207835045</v>
      </c>
      <c r="BB30">
        <f t="shared" si="38"/>
        <v>68.154236845554948</v>
      </c>
      <c r="BC30">
        <f t="shared" si="39"/>
        <v>79.158069708653201</v>
      </c>
      <c r="BD30">
        <f t="shared" si="40"/>
        <v>30.265491900843113</v>
      </c>
      <c r="BE30">
        <f t="shared" si="41"/>
        <v>78.108898340714035</v>
      </c>
      <c r="BF30">
        <f t="shared" si="32"/>
        <v>79.925706038301243</v>
      </c>
    </row>
    <row r="31" spans="1:58">
      <c r="B31" s="45">
        <v>28</v>
      </c>
      <c r="C31">
        <f>Rand!P25</f>
        <v>582776</v>
      </c>
      <c r="D31">
        <f>Rand!Q25</f>
        <v>600941</v>
      </c>
      <c r="P31" s="45">
        <v>28</v>
      </c>
      <c r="Q31">
        <f t="shared" si="33"/>
        <v>135.63985235212965</v>
      </c>
      <c r="R31" s="13">
        <f t="shared" si="0"/>
        <v>125.19584657647394</v>
      </c>
      <c r="S31" s="13">
        <f t="shared" si="1"/>
        <v>94.201910808645493</v>
      </c>
      <c r="T31" s="13">
        <f t="shared" si="2"/>
        <v>99.247166206396045</v>
      </c>
      <c r="U31" s="13">
        <f t="shared" si="3"/>
        <v>124.03628501370073</v>
      </c>
      <c r="V31" s="13">
        <f t="shared" si="4"/>
        <v>130.75167302944922</v>
      </c>
      <c r="W31" s="13">
        <f t="shared" si="5"/>
        <v>91.005494339627646</v>
      </c>
      <c r="X31" s="13">
        <f t="shared" si="6"/>
        <v>129.75746606650424</v>
      </c>
      <c r="Y31" s="13">
        <f t="shared" si="7"/>
        <v>97.984692682071525</v>
      </c>
      <c r="Z31">
        <f t="shared" si="8"/>
        <v>86.977008456258133</v>
      </c>
      <c r="AA31">
        <f t="shared" si="9"/>
        <v>90.255193756370602</v>
      </c>
      <c r="AB31">
        <f t="shared" si="10"/>
        <v>57.706152185014034</v>
      </c>
      <c r="AC31">
        <f t="shared" si="11"/>
        <v>34.713109915419565</v>
      </c>
      <c r="AD31">
        <f t="shared" si="12"/>
        <v>78.339006886735547</v>
      </c>
      <c r="AE31">
        <f t="shared" si="13"/>
        <v>45.099889135118723</v>
      </c>
      <c r="AF31">
        <f t="shared" si="14"/>
        <v>69.06518659932803</v>
      </c>
      <c r="AG31">
        <f t="shared" si="15"/>
        <v>55.108982933819419</v>
      </c>
      <c r="AH31">
        <f t="shared" si="16"/>
        <v>52.201532544552748</v>
      </c>
      <c r="AI31">
        <f t="shared" si="17"/>
        <v>51</v>
      </c>
      <c r="AJ31">
        <f t="shared" si="18"/>
        <v>48.052055106935853</v>
      </c>
      <c r="AK31">
        <f t="shared" si="19"/>
        <v>80.02499609497022</v>
      </c>
      <c r="AL31">
        <f t="shared" si="20"/>
        <v>11.401754250991379</v>
      </c>
      <c r="AM31">
        <f t="shared" si="21"/>
        <v>23</v>
      </c>
      <c r="AN31">
        <f t="shared" si="22"/>
        <v>27.856776554368238</v>
      </c>
      <c r="AO31">
        <f t="shared" si="42"/>
        <v>837091.37413128326</v>
      </c>
      <c r="AP31">
        <f t="shared" si="24"/>
        <v>11.180339887498949</v>
      </c>
      <c r="AQ31">
        <f t="shared" si="25"/>
        <v>12.165525060596439</v>
      </c>
      <c r="AR31">
        <f t="shared" si="26"/>
        <v>26.92582403567252</v>
      </c>
      <c r="AS31">
        <f t="shared" si="27"/>
        <v>0</v>
      </c>
      <c r="AT31">
        <f t="shared" si="28"/>
        <v>34.132096331752024</v>
      </c>
      <c r="AU31">
        <f t="shared" si="29"/>
        <v>22.847319317591726</v>
      </c>
      <c r="AV31">
        <f t="shared" si="30"/>
        <v>63.324560795950255</v>
      </c>
      <c r="AW31">
        <f t="shared" si="31"/>
        <v>49.648766349225639</v>
      </c>
      <c r="AX31">
        <f t="shared" si="34"/>
        <v>54.74486277268398</v>
      </c>
      <c r="AY31">
        <f t="shared" si="35"/>
        <v>48.754486972995622</v>
      </c>
      <c r="AZ31">
        <f t="shared" si="36"/>
        <v>55.072679252057455</v>
      </c>
      <c r="BA31">
        <f t="shared" si="37"/>
        <v>37.013511046643494</v>
      </c>
      <c r="BB31">
        <f t="shared" si="38"/>
        <v>53.009433122794285</v>
      </c>
      <c r="BC31">
        <f t="shared" si="39"/>
        <v>75.23961722390672</v>
      </c>
      <c r="BD31">
        <f t="shared" si="40"/>
        <v>35.227829907617071</v>
      </c>
      <c r="BE31">
        <f t="shared" si="41"/>
        <v>64</v>
      </c>
      <c r="BF31">
        <f t="shared" si="32"/>
        <v>78.222625791521267</v>
      </c>
    </row>
    <row r="32" spans="1:58">
      <c r="B32" s="45">
        <v>29</v>
      </c>
      <c r="C32">
        <f>Rand!P27</f>
        <v>582758</v>
      </c>
      <c r="D32">
        <f>Rand!Q27</f>
        <v>600912</v>
      </c>
      <c r="P32" s="45">
        <v>29</v>
      </c>
      <c r="Q32">
        <f t="shared" si="33"/>
        <v>115.1205997470023</v>
      </c>
      <c r="R32" s="13">
        <f t="shared" si="0"/>
        <v>112.89375536317321</v>
      </c>
      <c r="S32" s="13">
        <f t="shared" si="1"/>
        <v>76.295478240849903</v>
      </c>
      <c r="T32" s="13">
        <f t="shared" si="2"/>
        <v>88.639720216164946</v>
      </c>
      <c r="U32" s="13">
        <f t="shared" si="3"/>
        <v>105.80170130957252</v>
      </c>
      <c r="V32" s="13">
        <f t="shared" si="4"/>
        <v>119.97082978791136</v>
      </c>
      <c r="W32" s="13">
        <f t="shared" si="5"/>
        <v>78.924014089502563</v>
      </c>
      <c r="X32" s="13">
        <f t="shared" si="6"/>
        <v>112.00892821556681</v>
      </c>
      <c r="Y32" s="13">
        <f t="shared" si="7"/>
        <v>77.1621668954417</v>
      </c>
      <c r="Z32">
        <f t="shared" si="8"/>
        <v>69.856996786291916</v>
      </c>
      <c r="AA32">
        <f t="shared" si="9"/>
        <v>83.52843827104634</v>
      </c>
      <c r="AB32">
        <f t="shared" si="10"/>
        <v>54.451813560247928</v>
      </c>
      <c r="AC32">
        <f t="shared" si="11"/>
        <v>39.395431207184416</v>
      </c>
      <c r="AD32">
        <f t="shared" si="12"/>
        <v>58.855755878248644</v>
      </c>
      <c r="AE32">
        <f t="shared" si="13"/>
        <v>37.483329627982627</v>
      </c>
      <c r="AF32">
        <f t="shared" si="14"/>
        <v>60.207972893961475</v>
      </c>
      <c r="AG32">
        <f t="shared" si="15"/>
        <v>53.814496188294839</v>
      </c>
      <c r="AH32">
        <f t="shared" si="16"/>
        <v>32.893768406797051</v>
      </c>
      <c r="AI32">
        <f t="shared" si="17"/>
        <v>27.459060435491963</v>
      </c>
      <c r="AJ32">
        <f t="shared" si="18"/>
        <v>48.60041152089147</v>
      </c>
      <c r="AK32">
        <f t="shared" si="19"/>
        <v>67.623960250786851</v>
      </c>
      <c r="AL32">
        <f t="shared" si="20"/>
        <v>32.756678708318397</v>
      </c>
      <c r="AM32">
        <f t="shared" si="21"/>
        <v>18.973665961010276</v>
      </c>
      <c r="AN32">
        <f t="shared" si="22"/>
        <v>28.160255680657446</v>
      </c>
      <c r="AO32">
        <f t="shared" si="42"/>
        <v>837091.37413128326</v>
      </c>
      <c r="AP32">
        <f t="shared" si="24"/>
        <v>36.878177829171548</v>
      </c>
      <c r="AQ32">
        <f t="shared" si="25"/>
        <v>43.139309220245984</v>
      </c>
      <c r="AR32">
        <f t="shared" si="26"/>
        <v>8.9442719099991592</v>
      </c>
      <c r="AS32">
        <f t="shared" si="27"/>
        <v>34.132096331752024</v>
      </c>
      <c r="AT32">
        <f t="shared" si="28"/>
        <v>0</v>
      </c>
      <c r="AU32">
        <f t="shared" si="29"/>
        <v>20.223748416156685</v>
      </c>
      <c r="AV32">
        <f t="shared" si="30"/>
        <v>77.233412458598508</v>
      </c>
      <c r="AW32">
        <f t="shared" si="31"/>
        <v>70.213958726167832</v>
      </c>
      <c r="AX32">
        <f t="shared" si="34"/>
        <v>74.726166769077622</v>
      </c>
      <c r="AY32">
        <f t="shared" si="35"/>
        <v>62.513998432351137</v>
      </c>
      <c r="AZ32">
        <f t="shared" si="36"/>
        <v>66.030296076876709</v>
      </c>
      <c r="BA32">
        <f t="shared" si="37"/>
        <v>61.71709649683789</v>
      </c>
      <c r="BB32">
        <f t="shared" si="38"/>
        <v>77.077882690172544</v>
      </c>
      <c r="BC32">
        <f t="shared" si="39"/>
        <v>87.005746936624831</v>
      </c>
      <c r="BD32">
        <f t="shared" si="40"/>
        <v>38</v>
      </c>
      <c r="BE32">
        <f t="shared" si="41"/>
        <v>86.977008456258133</v>
      </c>
      <c r="BF32">
        <f t="shared" si="32"/>
        <v>87.402351488507975</v>
      </c>
    </row>
    <row r="33" spans="2:58">
      <c r="B33" s="45">
        <v>30</v>
      </c>
      <c r="C33">
        <f>Rand!P24</f>
        <v>582755</v>
      </c>
      <c r="D33">
        <f>Rand!Q24</f>
        <v>600932</v>
      </c>
      <c r="P33" s="45">
        <v>30</v>
      </c>
      <c r="Q33">
        <f t="shared" si="33"/>
        <v>113.39766825693431</v>
      </c>
      <c r="R33" s="13">
        <f t="shared" si="0"/>
        <v>105.22357150372724</v>
      </c>
      <c r="S33" s="13">
        <f t="shared" si="1"/>
        <v>72.249567472753768</v>
      </c>
      <c r="T33" s="13">
        <f t="shared" si="2"/>
        <v>79.624116949577527</v>
      </c>
      <c r="U33" s="13">
        <f t="shared" si="3"/>
        <v>102.23991392797629</v>
      </c>
      <c r="V33" s="13">
        <f t="shared" si="4"/>
        <v>111.40017953306898</v>
      </c>
      <c r="W33" s="13">
        <f t="shared" si="5"/>
        <v>70.710678118654755</v>
      </c>
      <c r="X33" s="13">
        <f t="shared" si="6"/>
        <v>108.11567878897121</v>
      </c>
      <c r="Y33" s="13">
        <f t="shared" si="7"/>
        <v>75.504966724050675</v>
      </c>
      <c r="Z33">
        <f t="shared" si="8"/>
        <v>65.12296062065974</v>
      </c>
      <c r="AA33">
        <f t="shared" si="9"/>
        <v>72.111025509279784</v>
      </c>
      <c r="AB33">
        <f t="shared" si="10"/>
        <v>40.249223594996216</v>
      </c>
      <c r="AC33">
        <f t="shared" si="11"/>
        <v>20.615528128088304</v>
      </c>
      <c r="AD33">
        <f t="shared" si="12"/>
        <v>55.901699437494742</v>
      </c>
      <c r="AE33">
        <f t="shared" si="13"/>
        <v>24.738633753705962</v>
      </c>
      <c r="AF33">
        <f t="shared" si="14"/>
        <v>49.477267507411923</v>
      </c>
      <c r="AG33">
        <f t="shared" si="15"/>
        <v>38.587562763149478</v>
      </c>
      <c r="AH33">
        <f t="shared" si="16"/>
        <v>29.410882339705484</v>
      </c>
      <c r="AI33">
        <f t="shared" si="17"/>
        <v>28.301943396169811</v>
      </c>
      <c r="AJ33">
        <f t="shared" si="18"/>
        <v>32.202484376209235</v>
      </c>
      <c r="AK33">
        <f t="shared" si="19"/>
        <v>59.413803110051795</v>
      </c>
      <c r="AL33">
        <f t="shared" si="20"/>
        <v>15.620499351813308</v>
      </c>
      <c r="AM33">
        <f t="shared" si="21"/>
        <v>25.238858928247925</v>
      </c>
      <c r="AN33">
        <f t="shared" si="22"/>
        <v>35.355339059327378</v>
      </c>
      <c r="AO33">
        <f t="shared" si="42"/>
        <v>837091.37413128326</v>
      </c>
      <c r="AP33">
        <f t="shared" si="24"/>
        <v>31.256999216175569</v>
      </c>
      <c r="AQ33">
        <f t="shared" si="25"/>
        <v>34.785054261852174</v>
      </c>
      <c r="AR33">
        <f t="shared" si="26"/>
        <v>19.416487838947599</v>
      </c>
      <c r="AS33">
        <f t="shared" si="27"/>
        <v>22.847319317591726</v>
      </c>
      <c r="AT33">
        <f t="shared" si="28"/>
        <v>20.223748416156685</v>
      </c>
      <c r="AU33">
        <f t="shared" si="29"/>
        <v>0</v>
      </c>
      <c r="AV33">
        <f t="shared" si="30"/>
        <v>81.21576201698781</v>
      </c>
      <c r="AW33">
        <f t="shared" si="31"/>
        <v>70.007142492748557</v>
      </c>
      <c r="AX33">
        <f t="shared" si="34"/>
        <v>75</v>
      </c>
      <c r="AY33">
        <f t="shared" si="35"/>
        <v>66.098411478642959</v>
      </c>
      <c r="AZ33">
        <f t="shared" si="36"/>
        <v>71.309185944028272</v>
      </c>
      <c r="BA33">
        <f t="shared" si="37"/>
        <v>58.54912467321779</v>
      </c>
      <c r="BB33">
        <f t="shared" si="38"/>
        <v>74.672618810377884</v>
      </c>
      <c r="BC33">
        <f t="shared" si="39"/>
        <v>92.417530804496181</v>
      </c>
      <c r="BD33">
        <f t="shared" si="40"/>
        <v>45.617978911828175</v>
      </c>
      <c r="BE33">
        <f t="shared" si="41"/>
        <v>85.475142585432408</v>
      </c>
      <c r="BF33">
        <f t="shared" si="32"/>
        <v>94.233767226613864</v>
      </c>
    </row>
    <row r="34" spans="2:58">
      <c r="B34" s="45">
        <v>31</v>
      </c>
      <c r="C34">
        <f>Rand!P37</f>
        <v>582835</v>
      </c>
      <c r="D34">
        <f>Rand!Q37</f>
        <v>600918</v>
      </c>
      <c r="P34" s="45">
        <v>31</v>
      </c>
      <c r="Q34">
        <f t="shared" si="33"/>
        <v>192.11298843675715</v>
      </c>
      <c r="R34" s="13">
        <f t="shared" si="0"/>
        <v>186.42961138188321</v>
      </c>
      <c r="S34" s="13">
        <f t="shared" si="1"/>
        <v>152.21038072352357</v>
      </c>
      <c r="T34" s="13">
        <f t="shared" si="2"/>
        <v>160.822883943797</v>
      </c>
      <c r="U34" s="13">
        <f t="shared" si="3"/>
        <v>182.13456563760764</v>
      </c>
      <c r="V34" s="13">
        <f t="shared" si="4"/>
        <v>192.58764238652489</v>
      </c>
      <c r="W34" s="13">
        <f t="shared" si="5"/>
        <v>151.90786681406595</v>
      </c>
      <c r="X34" s="13">
        <f t="shared" si="6"/>
        <v>188.21530224718711</v>
      </c>
      <c r="Y34" s="13">
        <f t="shared" si="7"/>
        <v>154.00324671902212</v>
      </c>
      <c r="Z34">
        <f t="shared" si="8"/>
        <v>145.34441853748632</v>
      </c>
      <c r="AA34">
        <f t="shared" si="9"/>
        <v>152.80052355931247</v>
      </c>
      <c r="AB34">
        <f t="shared" si="10"/>
        <v>120.33287165193059</v>
      </c>
      <c r="AC34">
        <f t="shared" si="11"/>
        <v>97.718984849413985</v>
      </c>
      <c r="AD34">
        <f t="shared" si="12"/>
        <v>135.05924625881784</v>
      </c>
      <c r="AE34">
        <f t="shared" si="13"/>
        <v>105.90561835898981</v>
      </c>
      <c r="AF34">
        <f t="shared" si="14"/>
        <v>130.61393493804556</v>
      </c>
      <c r="AG34">
        <f t="shared" si="15"/>
        <v>118.00423721205946</v>
      </c>
      <c r="AH34">
        <f t="shared" si="16"/>
        <v>108.11567878897121</v>
      </c>
      <c r="AI34">
        <f t="shared" si="17"/>
        <v>104.00480758118829</v>
      </c>
      <c r="AJ34">
        <f t="shared" si="18"/>
        <v>111.01801655587259</v>
      </c>
      <c r="AK34">
        <f t="shared" si="19"/>
        <v>140.57738082636197</v>
      </c>
      <c r="AL34">
        <f t="shared" si="20"/>
        <v>74.672618810377884</v>
      </c>
      <c r="AM34">
        <f t="shared" si="21"/>
        <v>59</v>
      </c>
      <c r="AN34">
        <f t="shared" si="22"/>
        <v>49.091750834534309</v>
      </c>
      <c r="AO34">
        <f t="shared" si="42"/>
        <v>837091.37413128326</v>
      </c>
      <c r="AP34">
        <f t="shared" si="24"/>
        <v>52.201532544552748</v>
      </c>
      <c r="AQ34">
        <f t="shared" si="25"/>
        <v>53.235326616824658</v>
      </c>
      <c r="AR34">
        <f t="shared" si="26"/>
        <v>69.028979421689272</v>
      </c>
      <c r="AS34">
        <f t="shared" si="27"/>
        <v>63.324560795950255</v>
      </c>
      <c r="AT34">
        <f t="shared" si="28"/>
        <v>77.233412458598508</v>
      </c>
      <c r="AU34">
        <f t="shared" si="29"/>
        <v>81.21576201698781</v>
      </c>
      <c r="AV34">
        <f t="shared" si="30"/>
        <v>0</v>
      </c>
      <c r="AW34">
        <f t="shared" si="31"/>
        <v>18.027756377319946</v>
      </c>
      <c r="AX34">
        <f t="shared" si="34"/>
        <v>14.866068747318506</v>
      </c>
      <c r="AY34">
        <f t="shared" si="35"/>
        <v>15.132745950421556</v>
      </c>
      <c r="AZ34">
        <f t="shared" si="36"/>
        <v>11.704699910719626</v>
      </c>
      <c r="BA34">
        <f t="shared" si="37"/>
        <v>31.11269837220809</v>
      </c>
      <c r="BB34">
        <f t="shared" si="38"/>
        <v>24.738633753705962</v>
      </c>
      <c r="BC34">
        <f t="shared" si="39"/>
        <v>12.206555615733702</v>
      </c>
      <c r="BD34">
        <f t="shared" si="40"/>
        <v>39.45883931389772</v>
      </c>
      <c r="BE34">
        <f t="shared" si="41"/>
        <v>23.53720459187964</v>
      </c>
      <c r="BF34">
        <f t="shared" si="32"/>
        <v>17.02618588306116</v>
      </c>
    </row>
    <row r="35" spans="2:58">
      <c r="B35" s="45">
        <v>32</v>
      </c>
      <c r="C35">
        <f>Rand!P40</f>
        <v>582825</v>
      </c>
      <c r="D35">
        <f>Rand!Q40</f>
        <v>600933</v>
      </c>
      <c r="P35" s="45">
        <v>32</v>
      </c>
      <c r="Q35">
        <f t="shared" si="33"/>
        <v>182.99322344311699</v>
      </c>
      <c r="R35" s="13">
        <f t="shared" si="0"/>
        <v>174.64535493393461</v>
      </c>
      <c r="S35" s="13">
        <f t="shared" si="1"/>
        <v>142.1724305201258</v>
      </c>
      <c r="T35" s="13">
        <f t="shared" si="2"/>
        <v>148.75819305167698</v>
      </c>
      <c r="U35" s="13">
        <f t="shared" si="3"/>
        <v>172.18594600024707</v>
      </c>
      <c r="V35" s="13">
        <f t="shared" si="4"/>
        <v>180.34688796871433</v>
      </c>
      <c r="W35" s="13">
        <f t="shared" si="5"/>
        <v>140.28898745090436</v>
      </c>
      <c r="X35" s="13">
        <f t="shared" si="6"/>
        <v>178.10109488714548</v>
      </c>
      <c r="Y35" s="13">
        <f t="shared" si="7"/>
        <v>144.88616221019868</v>
      </c>
      <c r="Z35">
        <f t="shared" si="8"/>
        <v>135.09256086106296</v>
      </c>
      <c r="AA35">
        <f t="shared" si="9"/>
        <v>139.90353819685905</v>
      </c>
      <c r="AB35">
        <f t="shared" si="10"/>
        <v>107.35455276791944</v>
      </c>
      <c r="AC35">
        <f t="shared" si="11"/>
        <v>84.344531535838172</v>
      </c>
      <c r="AD35">
        <f t="shared" si="12"/>
        <v>125.48306658669129</v>
      </c>
      <c r="AE35">
        <f t="shared" si="13"/>
        <v>94.132884795909661</v>
      </c>
      <c r="AF35">
        <f t="shared" si="14"/>
        <v>118.51160280748886</v>
      </c>
      <c r="AG35">
        <f t="shared" si="15"/>
        <v>104.7377677822093</v>
      </c>
      <c r="AH35">
        <f t="shared" si="16"/>
        <v>98.508882848198013</v>
      </c>
      <c r="AI35">
        <f t="shared" si="17"/>
        <v>95.351979528481735</v>
      </c>
      <c r="AJ35">
        <f t="shared" si="18"/>
        <v>97.672923576598237</v>
      </c>
      <c r="AK35">
        <f t="shared" si="19"/>
        <v>129.1394595001853</v>
      </c>
      <c r="AL35">
        <f t="shared" si="20"/>
        <v>61</v>
      </c>
      <c r="AM35">
        <f t="shared" si="21"/>
        <v>51.244511901275828</v>
      </c>
      <c r="AN35">
        <f t="shared" si="22"/>
        <v>42.953463189829058</v>
      </c>
      <c r="AO35">
        <f t="shared" si="42"/>
        <v>837091.37413128326</v>
      </c>
      <c r="AP35">
        <f t="shared" si="24"/>
        <v>39.11521443121589</v>
      </c>
      <c r="AQ35">
        <f t="shared" si="25"/>
        <v>38.327535793473601</v>
      </c>
      <c r="AR35">
        <f t="shared" si="26"/>
        <v>61.400325732035007</v>
      </c>
      <c r="AS35">
        <f t="shared" si="27"/>
        <v>49.648766349225639</v>
      </c>
      <c r="AT35">
        <f t="shared" si="28"/>
        <v>70.213958726167832</v>
      </c>
      <c r="AU35">
        <f t="shared" si="29"/>
        <v>70.007142492748557</v>
      </c>
      <c r="AV35">
        <f t="shared" si="30"/>
        <v>18.027756377319946</v>
      </c>
      <c r="AW35">
        <f t="shared" si="31"/>
        <v>0</v>
      </c>
      <c r="AX35">
        <f t="shared" si="34"/>
        <v>5.0990195135927845</v>
      </c>
      <c r="AY35">
        <f t="shared" si="35"/>
        <v>13.928388277184119</v>
      </c>
      <c r="AZ35">
        <f t="shared" si="36"/>
        <v>19.026297590440446</v>
      </c>
      <c r="BA35">
        <f t="shared" si="37"/>
        <v>13.892443989449804</v>
      </c>
      <c r="BB35">
        <f t="shared" si="38"/>
        <v>9.8488578017961039</v>
      </c>
      <c r="BC35">
        <f t="shared" si="39"/>
        <v>29.732137494637012</v>
      </c>
      <c r="BD35">
        <f t="shared" si="40"/>
        <v>35.805027579936315</v>
      </c>
      <c r="BE35">
        <f t="shared" si="41"/>
        <v>17</v>
      </c>
      <c r="BF35">
        <f t="shared" si="32"/>
        <v>35.045443437390681</v>
      </c>
    </row>
    <row r="36" spans="2:58">
      <c r="B36" s="45">
        <v>33</v>
      </c>
      <c r="C36">
        <f>Rand!P38</f>
        <v>582830</v>
      </c>
      <c r="D36">
        <f>Rand!Q38</f>
        <v>600932</v>
      </c>
      <c r="P36" s="45">
        <v>33</v>
      </c>
      <c r="Q36">
        <f t="shared" si="33"/>
        <v>187.87494289048243</v>
      </c>
      <c r="R36" s="13">
        <f t="shared" si="0"/>
        <v>179.71366113904642</v>
      </c>
      <c r="S36" s="13">
        <f t="shared" si="1"/>
        <v>147.12239802287073</v>
      </c>
      <c r="T36" s="13">
        <f t="shared" si="2"/>
        <v>153.83432646844463</v>
      </c>
      <c r="U36" s="13">
        <f t="shared" si="3"/>
        <v>177.13836399831629</v>
      </c>
      <c r="V36" s="13">
        <f t="shared" si="4"/>
        <v>185.43192821086663</v>
      </c>
      <c r="W36" s="13">
        <f t="shared" si="5"/>
        <v>145.34441853748632</v>
      </c>
      <c r="X36" s="13">
        <f t="shared" si="6"/>
        <v>183.06829326784035</v>
      </c>
      <c r="Y36" s="13">
        <f t="shared" si="7"/>
        <v>149.75313018431368</v>
      </c>
      <c r="Z36">
        <f t="shared" si="8"/>
        <v>140.05713120009278</v>
      </c>
      <c r="AA36">
        <f t="shared" si="9"/>
        <v>145</v>
      </c>
      <c r="AB36">
        <f t="shared" si="10"/>
        <v>112.44998888394787</v>
      </c>
      <c r="AC36">
        <f t="shared" si="11"/>
        <v>89.442719099991592</v>
      </c>
      <c r="AD36">
        <f t="shared" si="12"/>
        <v>130.38404810405297</v>
      </c>
      <c r="AE36">
        <f t="shared" si="13"/>
        <v>99.181651528899238</v>
      </c>
      <c r="AF36">
        <f t="shared" si="14"/>
        <v>123.58397954427588</v>
      </c>
      <c r="AG36">
        <f t="shared" si="15"/>
        <v>109.83624174196785</v>
      </c>
      <c r="AH36">
        <f t="shared" si="16"/>
        <v>103.39245620450265</v>
      </c>
      <c r="AI36">
        <f t="shared" si="17"/>
        <v>100.12991560967181</v>
      </c>
      <c r="AJ36">
        <f t="shared" si="18"/>
        <v>102.77159140540736</v>
      </c>
      <c r="AK36">
        <f t="shared" si="19"/>
        <v>134.18271125595876</v>
      </c>
      <c r="AL36">
        <f t="shared" si="20"/>
        <v>66.098411478642959</v>
      </c>
      <c r="AM36">
        <f t="shared" si="21"/>
        <v>55.785302723925412</v>
      </c>
      <c r="AN36">
        <f t="shared" si="22"/>
        <v>47.169905660283021</v>
      </c>
      <c r="AO36">
        <f t="shared" si="42"/>
        <v>837091.37413128326</v>
      </c>
      <c r="AP36">
        <f t="shared" si="24"/>
        <v>44.181444068749045</v>
      </c>
      <c r="AQ36">
        <f t="shared" si="25"/>
        <v>43.416586692184822</v>
      </c>
      <c r="AR36">
        <f t="shared" si="26"/>
        <v>65.969690009882569</v>
      </c>
      <c r="AS36">
        <f t="shared" si="27"/>
        <v>54.74486277268398</v>
      </c>
      <c r="AT36">
        <f t="shared" si="28"/>
        <v>74.726166769077622</v>
      </c>
      <c r="AU36">
        <f t="shared" si="29"/>
        <v>75</v>
      </c>
      <c r="AV36">
        <f t="shared" si="30"/>
        <v>14.866068747318506</v>
      </c>
      <c r="AW36">
        <f t="shared" si="31"/>
        <v>5.0990195135927845</v>
      </c>
      <c r="AX36">
        <f t="shared" si="34"/>
        <v>0</v>
      </c>
      <c r="AY36">
        <f t="shared" si="35"/>
        <v>15.620499351813308</v>
      </c>
      <c r="AZ36">
        <f t="shared" si="36"/>
        <v>18.973665961010276</v>
      </c>
      <c r="BA36">
        <f t="shared" si="37"/>
        <v>18.788294228055936</v>
      </c>
      <c r="BB36">
        <f t="shared" si="38"/>
        <v>10.04987562112089</v>
      </c>
      <c r="BC36">
        <f t="shared" si="39"/>
        <v>25.80697580112788</v>
      </c>
      <c r="BD36">
        <f t="shared" si="40"/>
        <v>39.446165846632042</v>
      </c>
      <c r="BE36">
        <f t="shared" si="41"/>
        <v>13.45362404707371</v>
      </c>
      <c r="BF36">
        <f t="shared" si="32"/>
        <v>31.561319454732271</v>
      </c>
    </row>
    <row r="37" spans="2:58">
      <c r="B37" s="45">
        <v>34</v>
      </c>
      <c r="C37">
        <f>Rand!P34</f>
        <v>582820</v>
      </c>
      <c r="D37">
        <f>Rand!Q34</f>
        <v>600920</v>
      </c>
      <c r="P37" s="45">
        <v>34</v>
      </c>
      <c r="Q37">
        <f t="shared" si="33"/>
        <v>177.16260171408385</v>
      </c>
      <c r="R37" s="13">
        <f t="shared" si="0"/>
        <v>171.30382365843442</v>
      </c>
      <c r="S37" s="13">
        <f t="shared" si="1"/>
        <v>137.13132391981054</v>
      </c>
      <c r="T37" s="13">
        <f t="shared" si="2"/>
        <v>145.71547618561317</v>
      </c>
      <c r="U37" s="13">
        <f t="shared" si="3"/>
        <v>167.0748335327616</v>
      </c>
      <c r="V37" s="13">
        <f t="shared" si="4"/>
        <v>177.48521065147935</v>
      </c>
      <c r="W37" s="13">
        <f t="shared" si="5"/>
        <v>136.78084661238211</v>
      </c>
      <c r="X37" s="13">
        <f t="shared" si="6"/>
        <v>173.1415605797753</v>
      </c>
      <c r="Y37" s="13">
        <f t="shared" si="7"/>
        <v>139.03237033151669</v>
      </c>
      <c r="Z37">
        <f t="shared" si="8"/>
        <v>130.24592124131948</v>
      </c>
      <c r="AA37">
        <f t="shared" si="9"/>
        <v>137.78606605894515</v>
      </c>
      <c r="AB37">
        <f t="shared" si="10"/>
        <v>105.3612832116238</v>
      </c>
      <c r="AC37">
        <f t="shared" si="11"/>
        <v>82.87339742040264</v>
      </c>
      <c r="AD37">
        <f t="shared" si="12"/>
        <v>120.01666550941998</v>
      </c>
      <c r="AE37">
        <f t="shared" si="13"/>
        <v>90.801982357215081</v>
      </c>
      <c r="AF37">
        <f t="shared" si="14"/>
        <v>115.52056094046635</v>
      </c>
      <c r="AG37">
        <f t="shared" si="15"/>
        <v>103.09219175087898</v>
      </c>
      <c r="AH37">
        <f t="shared" si="16"/>
        <v>93.048374515624943</v>
      </c>
      <c r="AI37">
        <f t="shared" si="17"/>
        <v>89.050547443572739</v>
      </c>
      <c r="AJ37">
        <f t="shared" si="18"/>
        <v>96.135321292436529</v>
      </c>
      <c r="AK37">
        <f t="shared" si="19"/>
        <v>125.44720004846661</v>
      </c>
      <c r="AL37">
        <f t="shared" si="20"/>
        <v>60.00833275470999</v>
      </c>
      <c r="AM37">
        <f t="shared" si="21"/>
        <v>44.045431091090478</v>
      </c>
      <c r="AN37">
        <f t="shared" si="22"/>
        <v>34.365680554879162</v>
      </c>
      <c r="AO37">
        <f t="shared" si="42"/>
        <v>837091.37413128326</v>
      </c>
      <c r="AP37">
        <f t="shared" si="24"/>
        <v>37.576588456111871</v>
      </c>
      <c r="AQ37">
        <f t="shared" si="25"/>
        <v>39.408120990476064</v>
      </c>
      <c r="AR37">
        <f t="shared" si="26"/>
        <v>54.147945482723536</v>
      </c>
      <c r="AS37">
        <f t="shared" si="27"/>
        <v>48.754486972995622</v>
      </c>
      <c r="AT37">
        <f t="shared" si="28"/>
        <v>62.513998432351137</v>
      </c>
      <c r="AU37">
        <f t="shared" si="29"/>
        <v>66.098411478642959</v>
      </c>
      <c r="AV37">
        <f t="shared" si="30"/>
        <v>15.132745950421556</v>
      </c>
      <c r="AW37">
        <f t="shared" si="31"/>
        <v>13.928388277184119</v>
      </c>
      <c r="AX37">
        <f t="shared" si="34"/>
        <v>15.620499351813308</v>
      </c>
      <c r="AY37">
        <f t="shared" si="35"/>
        <v>0</v>
      </c>
      <c r="AZ37">
        <f t="shared" si="36"/>
        <v>7.2111025509279782</v>
      </c>
      <c r="BA37">
        <f t="shared" si="37"/>
        <v>21.189620100417091</v>
      </c>
      <c r="BB37">
        <f t="shared" si="38"/>
        <v>23.769728648009426</v>
      </c>
      <c r="BC37">
        <f t="shared" si="39"/>
        <v>26.570660511172846</v>
      </c>
      <c r="BD37">
        <f t="shared" si="40"/>
        <v>25.298221281347036</v>
      </c>
      <c r="BE37">
        <f t="shared" si="41"/>
        <v>29</v>
      </c>
      <c r="BF37">
        <f t="shared" si="32"/>
        <v>29.590806777167444</v>
      </c>
    </row>
    <row r="38" spans="2:58">
      <c r="B38" s="45">
        <v>35</v>
      </c>
      <c r="C38">
        <f>Rand!P32</f>
        <v>582824</v>
      </c>
      <c r="D38">
        <f>Rand!Q32</f>
        <v>600914</v>
      </c>
      <c r="P38" s="45">
        <v>35</v>
      </c>
      <c r="Q38">
        <f t="shared" si="33"/>
        <v>181.08820957230409</v>
      </c>
      <c r="R38" s="13">
        <f t="shared" si="0"/>
        <v>176.30938715791623</v>
      </c>
      <c r="S38" s="13">
        <f t="shared" si="1"/>
        <v>141.50971698084905</v>
      </c>
      <c r="T38" s="13">
        <f t="shared" si="2"/>
        <v>150.88074761214565</v>
      </c>
      <c r="U38" s="13">
        <f t="shared" si="3"/>
        <v>171.35343591536179</v>
      </c>
      <c r="V38" s="13">
        <f t="shared" si="4"/>
        <v>182.6608879864543</v>
      </c>
      <c r="W38" s="13">
        <f t="shared" si="5"/>
        <v>141.79210133149166</v>
      </c>
      <c r="X38" s="13">
        <f t="shared" si="6"/>
        <v>177.47675904185314</v>
      </c>
      <c r="Y38" s="13">
        <f t="shared" si="7"/>
        <v>143.0314650697531</v>
      </c>
      <c r="Z38">
        <f t="shared" si="8"/>
        <v>134.72935834479432</v>
      </c>
      <c r="AA38">
        <f t="shared" si="9"/>
        <v>143.29340529138108</v>
      </c>
      <c r="AB38">
        <f t="shared" si="10"/>
        <v>111</v>
      </c>
      <c r="AC38">
        <f t="shared" si="11"/>
        <v>88.76936408468859</v>
      </c>
      <c r="AD38">
        <f t="shared" si="12"/>
        <v>124.25779653607253</v>
      </c>
      <c r="AE38">
        <f t="shared" si="13"/>
        <v>96.046863561492728</v>
      </c>
      <c r="AF38">
        <f t="shared" si="14"/>
        <v>120.78493283518438</v>
      </c>
      <c r="AG38">
        <f t="shared" si="15"/>
        <v>108.84851859350222</v>
      </c>
      <c r="AH38">
        <f t="shared" si="16"/>
        <v>97.416631023660429</v>
      </c>
      <c r="AI38">
        <f t="shared" si="17"/>
        <v>93.048374515624943</v>
      </c>
      <c r="AJ38">
        <f t="shared" si="18"/>
        <v>101.95096860746347</v>
      </c>
      <c r="AK38">
        <f t="shared" si="19"/>
        <v>130.41855696180662</v>
      </c>
      <c r="AL38">
        <f t="shared" si="20"/>
        <v>66.189122973491649</v>
      </c>
      <c r="AM38">
        <f t="shared" si="21"/>
        <v>48.166378315169183</v>
      </c>
      <c r="AN38">
        <f t="shared" si="22"/>
        <v>38.013155617496423</v>
      </c>
      <c r="AO38">
        <f t="shared" si="42"/>
        <v>837091.37413128326</v>
      </c>
      <c r="AP38">
        <f t="shared" si="24"/>
        <v>43.908996800200299</v>
      </c>
      <c r="AQ38">
        <f t="shared" si="25"/>
        <v>46.227697325304881</v>
      </c>
      <c r="AR38">
        <f t="shared" si="26"/>
        <v>58.034472514187634</v>
      </c>
      <c r="AS38">
        <f t="shared" si="27"/>
        <v>55.072679252057455</v>
      </c>
      <c r="AT38">
        <f t="shared" si="28"/>
        <v>66.030296076876709</v>
      </c>
      <c r="AU38">
        <f t="shared" si="29"/>
        <v>71.309185944028272</v>
      </c>
      <c r="AV38">
        <f t="shared" si="30"/>
        <v>11.704699910719626</v>
      </c>
      <c r="AW38">
        <f t="shared" si="31"/>
        <v>19.026297590440446</v>
      </c>
      <c r="AX38">
        <f t="shared" si="34"/>
        <v>18.973665961010276</v>
      </c>
      <c r="AY38">
        <f t="shared" si="35"/>
        <v>7.2111025509279782</v>
      </c>
      <c r="AZ38">
        <f t="shared" si="36"/>
        <v>0</v>
      </c>
      <c r="BA38">
        <f t="shared" si="37"/>
        <v>28.231188426986208</v>
      </c>
      <c r="BB38">
        <f t="shared" si="38"/>
        <v>28.442925306655784</v>
      </c>
      <c r="BC38">
        <f t="shared" si="39"/>
        <v>21.213203435596427</v>
      </c>
      <c r="BD38">
        <f t="shared" si="40"/>
        <v>28.071337695236398</v>
      </c>
      <c r="BE38">
        <f t="shared" si="41"/>
        <v>31.384709652950431</v>
      </c>
      <c r="BF38">
        <f t="shared" si="32"/>
        <v>23.201271640238588</v>
      </c>
    </row>
    <row r="39" spans="2:58">
      <c r="B39" s="45">
        <v>36</v>
      </c>
      <c r="C39">
        <f>Rand!P33</f>
        <v>582813</v>
      </c>
      <c r="D39">
        <f>Rand!Q33</f>
        <v>600940</v>
      </c>
      <c r="P39" s="45">
        <v>36</v>
      </c>
      <c r="Q39">
        <f t="shared" si="33"/>
        <v>171.94235884767821</v>
      </c>
      <c r="R39" s="13">
        <f t="shared" si="0"/>
        <v>162.19741058352318</v>
      </c>
      <c r="S39" s="13">
        <f t="shared" si="1"/>
        <v>130.75167302944922</v>
      </c>
      <c r="T39" s="13">
        <f t="shared" si="2"/>
        <v>136.23509092741122</v>
      </c>
      <c r="U39" s="13">
        <f t="shared" si="3"/>
        <v>160.70158679988197</v>
      </c>
      <c r="V39" s="13">
        <f t="shared" si="4"/>
        <v>167.67229944149989</v>
      </c>
      <c r="W39" s="13">
        <f t="shared" si="5"/>
        <v>128.01562404644207</v>
      </c>
      <c r="X39" s="13">
        <f t="shared" si="6"/>
        <v>166.50825805346713</v>
      </c>
      <c r="Y39" s="13">
        <f t="shared" si="7"/>
        <v>133.98880550254935</v>
      </c>
      <c r="Z39">
        <f t="shared" si="8"/>
        <v>123.58397954427588</v>
      </c>
      <c r="AA39">
        <f t="shared" si="9"/>
        <v>127.01181047445942</v>
      </c>
      <c r="AB39">
        <f t="shared" si="10"/>
        <v>94.530418384771792</v>
      </c>
      <c r="AC39">
        <f t="shared" si="11"/>
        <v>71.449282711584999</v>
      </c>
      <c r="AD39">
        <f t="shared" si="12"/>
        <v>114.42464769445436</v>
      </c>
      <c r="AE39">
        <f t="shared" si="13"/>
        <v>82.024386617639507</v>
      </c>
      <c r="AF39">
        <f t="shared" si="14"/>
        <v>106.07544484940895</v>
      </c>
      <c r="AG39">
        <f t="shared" si="15"/>
        <v>91.787798753429101</v>
      </c>
      <c r="AH39">
        <f t="shared" si="16"/>
        <v>87.664131775772461</v>
      </c>
      <c r="AI39">
        <f t="shared" si="17"/>
        <v>85.164546614186818</v>
      </c>
      <c r="AJ39">
        <f t="shared" si="18"/>
        <v>84.717176534631989</v>
      </c>
      <c r="AK39">
        <f t="shared" si="19"/>
        <v>117.00427342623003</v>
      </c>
      <c r="AL39">
        <f t="shared" si="20"/>
        <v>48.166378315169183</v>
      </c>
      <c r="AM39">
        <f t="shared" si="21"/>
        <v>43.046486500061768</v>
      </c>
      <c r="AN39">
        <f t="shared" si="22"/>
        <v>36.796738985948195</v>
      </c>
      <c r="AO39">
        <f t="shared" si="42"/>
        <v>837091.37413128326</v>
      </c>
      <c r="AP39">
        <f t="shared" si="24"/>
        <v>27.294688127912362</v>
      </c>
      <c r="AQ39">
        <f t="shared" si="25"/>
        <v>25.179356624028344</v>
      </c>
      <c r="AR39">
        <f t="shared" si="26"/>
        <v>52.773099207835045</v>
      </c>
      <c r="AS39">
        <f t="shared" si="27"/>
        <v>37.013511046643494</v>
      </c>
      <c r="AT39">
        <f t="shared" si="28"/>
        <v>61.71709649683789</v>
      </c>
      <c r="AU39">
        <f t="shared" si="29"/>
        <v>58.54912467321779</v>
      </c>
      <c r="AV39">
        <f t="shared" si="30"/>
        <v>31.11269837220809</v>
      </c>
      <c r="AW39">
        <f t="shared" si="31"/>
        <v>13.892443989449804</v>
      </c>
      <c r="AX39">
        <f t="shared" si="34"/>
        <v>18.788294228055936</v>
      </c>
      <c r="AY39">
        <f t="shared" si="35"/>
        <v>21.189620100417091</v>
      </c>
      <c r="AZ39">
        <f t="shared" si="36"/>
        <v>28.231188426986208</v>
      </c>
      <c r="BA39">
        <f t="shared" si="37"/>
        <v>0</v>
      </c>
      <c r="BB39">
        <f t="shared" si="38"/>
        <v>16.124515496597098</v>
      </c>
      <c r="BC39">
        <f t="shared" si="39"/>
        <v>43.185645763378368</v>
      </c>
      <c r="BD39">
        <f t="shared" si="40"/>
        <v>32.756678708318397</v>
      </c>
      <c r="BE39">
        <f t="shared" si="41"/>
        <v>27.018512172212592</v>
      </c>
      <c r="BF39">
        <f t="shared" si="32"/>
        <v>48.009599099788325</v>
      </c>
    </row>
    <row r="40" spans="2:58">
      <c r="B40" s="45">
        <v>37</v>
      </c>
      <c r="C40">
        <f>Rand!P36</f>
        <v>582829</v>
      </c>
      <c r="D40">
        <f>Rand!Q36</f>
        <v>600942</v>
      </c>
      <c r="P40" s="45">
        <v>37</v>
      </c>
      <c r="Q40">
        <f t="shared" si="33"/>
        <v>188.06307432907209</v>
      </c>
      <c r="R40" s="13">
        <f t="shared" si="0"/>
        <v>178.10109488714548</v>
      </c>
      <c r="S40" s="13">
        <f t="shared" si="1"/>
        <v>146.87409574189726</v>
      </c>
      <c r="T40" s="13">
        <f t="shared" si="2"/>
        <v>152.11837495845134</v>
      </c>
      <c r="U40" s="13">
        <f t="shared" si="3"/>
        <v>176.81911661356077</v>
      </c>
      <c r="V40" s="13">
        <f t="shared" si="4"/>
        <v>183.46116755324545</v>
      </c>
      <c r="W40" s="13">
        <f t="shared" si="5"/>
        <v>144</v>
      </c>
      <c r="X40" s="13">
        <f t="shared" si="6"/>
        <v>182.61708572858126</v>
      </c>
      <c r="Y40" s="13">
        <f t="shared" si="7"/>
        <v>150.09663553857561</v>
      </c>
      <c r="Z40">
        <f t="shared" si="8"/>
        <v>139.70325694127536</v>
      </c>
      <c r="AA40">
        <f t="shared" si="9"/>
        <v>142.68847185389575</v>
      </c>
      <c r="AB40">
        <f t="shared" si="10"/>
        <v>110.2905254316979</v>
      </c>
      <c r="AC40">
        <f t="shared" si="11"/>
        <v>87.206651122491792</v>
      </c>
      <c r="AD40">
        <f t="shared" si="12"/>
        <v>130.54118124178285</v>
      </c>
      <c r="AE40">
        <f t="shared" si="13"/>
        <v>98.081598681913832</v>
      </c>
      <c r="AF40">
        <f t="shared" si="14"/>
        <v>122.01639234135715</v>
      </c>
      <c r="AG40">
        <f t="shared" si="15"/>
        <v>107.46627377926528</v>
      </c>
      <c r="AH40">
        <f t="shared" si="16"/>
        <v>103.75451797391764</v>
      </c>
      <c r="AI40">
        <f t="shared" si="17"/>
        <v>101.13851887386922</v>
      </c>
      <c r="AJ40">
        <f t="shared" si="18"/>
        <v>100.40418317978589</v>
      </c>
      <c r="AK40">
        <f t="shared" si="19"/>
        <v>133.0338302838793</v>
      </c>
      <c r="AL40">
        <f t="shared" si="20"/>
        <v>64.031242374328485</v>
      </c>
      <c r="AM40">
        <f t="shared" si="21"/>
        <v>58.180752831155424</v>
      </c>
      <c r="AN40">
        <f t="shared" si="22"/>
        <v>50.774009099144415</v>
      </c>
      <c r="AO40">
        <f t="shared" si="42"/>
        <v>837091.37413128326</v>
      </c>
      <c r="AP40">
        <f t="shared" si="24"/>
        <v>43.416586692184822</v>
      </c>
      <c r="AQ40">
        <f t="shared" si="25"/>
        <v>41.012193308819754</v>
      </c>
      <c r="AR40">
        <f t="shared" si="26"/>
        <v>68.154236845554948</v>
      </c>
      <c r="AS40">
        <f t="shared" si="27"/>
        <v>53.009433122794285</v>
      </c>
      <c r="AT40">
        <f t="shared" si="28"/>
        <v>77.077882690172544</v>
      </c>
      <c r="AU40">
        <f t="shared" si="29"/>
        <v>74.672618810377884</v>
      </c>
      <c r="AV40">
        <f t="shared" si="30"/>
        <v>24.738633753705962</v>
      </c>
      <c r="AW40">
        <f t="shared" si="31"/>
        <v>9.8488578017961039</v>
      </c>
      <c r="AX40">
        <f t="shared" si="34"/>
        <v>10.04987562112089</v>
      </c>
      <c r="AY40">
        <f t="shared" si="35"/>
        <v>23.769728648009426</v>
      </c>
      <c r="AZ40">
        <f t="shared" si="36"/>
        <v>28.442925306655784</v>
      </c>
      <c r="BA40">
        <f t="shared" si="37"/>
        <v>16.124515496597098</v>
      </c>
      <c r="BB40">
        <f t="shared" si="38"/>
        <v>0</v>
      </c>
      <c r="BC40">
        <f t="shared" si="39"/>
        <v>34.885527085024819</v>
      </c>
      <c r="BD40">
        <f t="shared" si="40"/>
        <v>44.598206241955516</v>
      </c>
      <c r="BE40">
        <f t="shared" si="41"/>
        <v>11.045361017187261</v>
      </c>
      <c r="BF40">
        <f t="shared" si="32"/>
        <v>41.011871034167214</v>
      </c>
    </row>
    <row r="41" spans="2:58">
      <c r="B41" s="45">
        <v>38</v>
      </c>
      <c r="C41">
        <f>Rand!P39</f>
        <v>582845</v>
      </c>
      <c r="D41">
        <f>Rand!Q39</f>
        <v>600911</v>
      </c>
      <c r="P41" s="45">
        <v>38</v>
      </c>
      <c r="Q41">
        <f t="shared" si="33"/>
        <v>202.12223951386594</v>
      </c>
      <c r="R41" s="13">
        <f t="shared" si="0"/>
        <v>197.49683541768459</v>
      </c>
      <c r="S41" s="13">
        <f t="shared" si="1"/>
        <v>162.69296235547498</v>
      </c>
      <c r="T41" s="13">
        <f t="shared" si="2"/>
        <v>172.02616080119907</v>
      </c>
      <c r="U41" s="13">
        <f t="shared" si="3"/>
        <v>192.50974001333023</v>
      </c>
      <c r="V41" s="13">
        <f t="shared" si="4"/>
        <v>203.80628057054571</v>
      </c>
      <c r="W41" s="13">
        <f t="shared" si="5"/>
        <v>162.97545827516484</v>
      </c>
      <c r="X41" s="13">
        <f t="shared" si="6"/>
        <v>198.64541273334251</v>
      </c>
      <c r="Y41" s="13">
        <f t="shared" si="7"/>
        <v>164.1097193952875</v>
      </c>
      <c r="Z41">
        <f t="shared" si="8"/>
        <v>155.92947123619703</v>
      </c>
      <c r="AA41">
        <f t="shared" si="9"/>
        <v>164.28329190760695</v>
      </c>
      <c r="AB41">
        <f t="shared" si="10"/>
        <v>131.89768762188365</v>
      </c>
      <c r="AC41">
        <f t="shared" si="11"/>
        <v>109.4440496326776</v>
      </c>
      <c r="AD41">
        <f t="shared" si="12"/>
        <v>145.41664278891878</v>
      </c>
      <c r="AE41">
        <f t="shared" si="13"/>
        <v>117.15374513859982</v>
      </c>
      <c r="AF41">
        <f t="shared" si="14"/>
        <v>141.89080308462562</v>
      </c>
      <c r="AG41">
        <f t="shared" si="15"/>
        <v>129.65338406690356</v>
      </c>
      <c r="AH41">
        <f t="shared" si="16"/>
        <v>118.6086000254619</v>
      </c>
      <c r="AI41">
        <f t="shared" si="17"/>
        <v>114.15778554264269</v>
      </c>
      <c r="AJ41">
        <f t="shared" si="18"/>
        <v>122.70289320142373</v>
      </c>
      <c r="AK41">
        <f t="shared" si="19"/>
        <v>151.60804727981954</v>
      </c>
      <c r="AL41">
        <f t="shared" si="20"/>
        <v>86.539008545279742</v>
      </c>
      <c r="AM41">
        <f t="shared" si="21"/>
        <v>69.354163537598808</v>
      </c>
      <c r="AN41">
        <f t="shared" si="22"/>
        <v>59.135437767890075</v>
      </c>
      <c r="AO41">
        <f t="shared" si="42"/>
        <v>837091.37413128326</v>
      </c>
      <c r="AP41">
        <f t="shared" si="24"/>
        <v>64.078077374403179</v>
      </c>
      <c r="AQ41">
        <f t="shared" si="25"/>
        <v>65.36818798161687</v>
      </c>
      <c r="AR41">
        <f t="shared" si="26"/>
        <v>79.158069708653201</v>
      </c>
      <c r="AS41">
        <f t="shared" si="27"/>
        <v>75.23961722390672</v>
      </c>
      <c r="AT41">
        <f t="shared" si="28"/>
        <v>87.005746936624831</v>
      </c>
      <c r="AU41">
        <f t="shared" si="29"/>
        <v>92.417530804496181</v>
      </c>
      <c r="AV41">
        <f t="shared" si="30"/>
        <v>12.206555615733702</v>
      </c>
      <c r="AW41">
        <f t="shared" si="31"/>
        <v>29.732137494637012</v>
      </c>
      <c r="AX41">
        <f t="shared" si="34"/>
        <v>25.80697580112788</v>
      </c>
      <c r="AY41">
        <f t="shared" si="35"/>
        <v>26.570660511172846</v>
      </c>
      <c r="AZ41">
        <f t="shared" si="36"/>
        <v>21.213203435596427</v>
      </c>
      <c r="BA41">
        <f t="shared" si="37"/>
        <v>43.185645763378368</v>
      </c>
      <c r="BB41">
        <f t="shared" si="38"/>
        <v>34.885527085024819</v>
      </c>
      <c r="BC41">
        <f t="shared" si="39"/>
        <v>0</v>
      </c>
      <c r="BD41">
        <f t="shared" si="40"/>
        <v>49.010203019371382</v>
      </c>
      <c r="BE41">
        <f t="shared" si="41"/>
        <v>30.413812651491099</v>
      </c>
      <c r="BF41">
        <f t="shared" si="32"/>
        <v>6.7371704539367023</v>
      </c>
    </row>
    <row r="42" spans="2:58">
      <c r="B42" s="45">
        <v>39</v>
      </c>
      <c r="C42">
        <f>Rand!P41</f>
        <v>582796</v>
      </c>
      <c r="D42">
        <f>Rand!Q41</f>
        <v>600912</v>
      </c>
      <c r="P42" s="45">
        <v>39</v>
      </c>
      <c r="Q42">
        <f t="shared" si="33"/>
        <v>153.11211711065067</v>
      </c>
      <c r="R42" s="13">
        <f t="shared" si="0"/>
        <v>149.40214188558343</v>
      </c>
      <c r="S42" s="13">
        <f t="shared" si="1"/>
        <v>113.86395390991831</v>
      </c>
      <c r="T42" s="13">
        <f t="shared" si="2"/>
        <v>124.32618388738553</v>
      </c>
      <c r="U42" s="13">
        <f t="shared" si="3"/>
        <v>143.58969322343438</v>
      </c>
      <c r="V42" s="13">
        <f t="shared" si="4"/>
        <v>156.04166110369371</v>
      </c>
      <c r="W42" s="13">
        <f t="shared" si="5"/>
        <v>114.9826073804208</v>
      </c>
      <c r="X42" s="13">
        <f t="shared" si="6"/>
        <v>149.75313018431368</v>
      </c>
      <c r="Y42" s="13">
        <f t="shared" si="7"/>
        <v>115.10864433221339</v>
      </c>
      <c r="Z42">
        <f t="shared" si="8"/>
        <v>107.20074626605917</v>
      </c>
      <c r="AA42">
        <f t="shared" si="9"/>
        <v>117.5457357797381</v>
      </c>
      <c r="AB42">
        <f t="shared" si="10"/>
        <v>85.866174946832231</v>
      </c>
      <c r="AC42">
        <f t="shared" si="11"/>
        <v>64.899922958351809</v>
      </c>
      <c r="AD42">
        <f t="shared" si="12"/>
        <v>96.519428096109237</v>
      </c>
      <c r="AE42">
        <f t="shared" si="13"/>
        <v>70.007142492748557</v>
      </c>
      <c r="AF42">
        <f t="shared" si="14"/>
        <v>94.578010129204984</v>
      </c>
      <c r="AG42">
        <f t="shared" si="15"/>
        <v>84.118963379252364</v>
      </c>
      <c r="AH42">
        <f t="shared" si="16"/>
        <v>69.871310278253688</v>
      </c>
      <c r="AI42">
        <f t="shared" si="17"/>
        <v>65.192024052026483</v>
      </c>
      <c r="AJ42">
        <f t="shared" si="18"/>
        <v>77.52418977325722</v>
      </c>
      <c r="AK42">
        <f t="shared" si="19"/>
        <v>103.58088626768937</v>
      </c>
      <c r="AL42">
        <f t="shared" si="20"/>
        <v>44.553338819890925</v>
      </c>
      <c r="AM42">
        <f t="shared" si="21"/>
        <v>20.880613017821101</v>
      </c>
      <c r="AN42">
        <f t="shared" si="22"/>
        <v>10.440306508910551</v>
      </c>
      <c r="AO42">
        <f t="shared" si="42"/>
        <v>837091.37413128326</v>
      </c>
      <c r="AP42">
        <f t="shared" si="24"/>
        <v>26</v>
      </c>
      <c r="AQ42">
        <f t="shared" si="25"/>
        <v>32.015621187164243</v>
      </c>
      <c r="AR42">
        <f t="shared" si="26"/>
        <v>30.265491900843113</v>
      </c>
      <c r="AS42">
        <f t="shared" si="27"/>
        <v>35.227829907617071</v>
      </c>
      <c r="AT42">
        <f t="shared" si="28"/>
        <v>38</v>
      </c>
      <c r="AU42">
        <f t="shared" si="29"/>
        <v>45.617978911828175</v>
      </c>
      <c r="AV42">
        <f t="shared" si="30"/>
        <v>39.45883931389772</v>
      </c>
      <c r="AW42">
        <f t="shared" si="31"/>
        <v>35.805027579936315</v>
      </c>
      <c r="AX42">
        <f t="shared" si="34"/>
        <v>39.446165846632042</v>
      </c>
      <c r="AY42">
        <f t="shared" si="35"/>
        <v>25.298221281347036</v>
      </c>
      <c r="AZ42">
        <f t="shared" si="36"/>
        <v>28.071337695236398</v>
      </c>
      <c r="BA42">
        <f t="shared" si="37"/>
        <v>32.756678708318397</v>
      </c>
      <c r="BB42">
        <f t="shared" si="38"/>
        <v>44.598206241955516</v>
      </c>
      <c r="BC42">
        <f t="shared" si="39"/>
        <v>49.010203019371382</v>
      </c>
      <c r="BD42">
        <f t="shared" si="40"/>
        <v>0</v>
      </c>
      <c r="BE42">
        <f t="shared" si="41"/>
        <v>52.697248505021591</v>
      </c>
      <c r="BF42">
        <f t="shared" si="32"/>
        <v>49.665569620439555</v>
      </c>
    </row>
    <row r="43" spans="2:58">
      <c r="B43" s="45">
        <v>40</v>
      </c>
      <c r="C43">
        <f>Rand!P35</f>
        <v>582840</v>
      </c>
      <c r="D43">
        <f>Rand!Q35</f>
        <v>600941</v>
      </c>
      <c r="P43" s="45">
        <v>40</v>
      </c>
      <c r="Q43">
        <f t="shared" si="33"/>
        <v>198.81959487460227</v>
      </c>
      <c r="R43" s="13">
        <f t="shared" si="0"/>
        <v>189.12958520548815</v>
      </c>
      <c r="S43" s="13">
        <f t="shared" si="1"/>
        <v>157.71493271088823</v>
      </c>
      <c r="T43" s="13">
        <f t="shared" si="2"/>
        <v>163.1502375113196</v>
      </c>
      <c r="U43" s="13">
        <f t="shared" si="3"/>
        <v>187.68324379123459</v>
      </c>
      <c r="V43" s="13">
        <f t="shared" si="4"/>
        <v>194.50449866262733</v>
      </c>
      <c r="W43" s="13">
        <f t="shared" si="5"/>
        <v>155.00322577288512</v>
      </c>
      <c r="X43" s="13">
        <f t="shared" si="6"/>
        <v>193.50710581268069</v>
      </c>
      <c r="Y43" s="13">
        <f t="shared" si="7"/>
        <v>160.80111939908875</v>
      </c>
      <c r="Z43">
        <f t="shared" si="8"/>
        <v>150.56227947264878</v>
      </c>
      <c r="AA43">
        <f t="shared" si="9"/>
        <v>153.73353570382747</v>
      </c>
      <c r="AB43">
        <f t="shared" si="10"/>
        <v>121.33424908079334</v>
      </c>
      <c r="AC43">
        <f t="shared" si="11"/>
        <v>98.249681933327395</v>
      </c>
      <c r="AD43">
        <f t="shared" si="12"/>
        <v>141.2834031300209</v>
      </c>
      <c r="AE43">
        <f t="shared" si="13"/>
        <v>109.04127658827184</v>
      </c>
      <c r="AF43">
        <f t="shared" si="14"/>
        <v>133.0338302838793</v>
      </c>
      <c r="AG43">
        <f t="shared" si="15"/>
        <v>118.51160280748886</v>
      </c>
      <c r="AH43">
        <f t="shared" si="16"/>
        <v>114.42464769445436</v>
      </c>
      <c r="AI43">
        <f t="shared" si="17"/>
        <v>111.61093136427094</v>
      </c>
      <c r="AJ43">
        <f t="shared" si="18"/>
        <v>111.44954015158609</v>
      </c>
      <c r="AK43">
        <f t="shared" si="19"/>
        <v>144.01388821915754</v>
      </c>
      <c r="AL43">
        <f t="shared" si="20"/>
        <v>75.059976019180823</v>
      </c>
      <c r="AM43">
        <f t="shared" si="21"/>
        <v>68.007352543677214</v>
      </c>
      <c r="AN43">
        <f t="shared" si="22"/>
        <v>59.933296255086788</v>
      </c>
      <c r="AO43">
        <f t="shared" si="42"/>
        <v>837091.37413128326</v>
      </c>
      <c r="AP43">
        <f t="shared" si="24"/>
        <v>54.230987451824994</v>
      </c>
      <c r="AQ43">
        <f t="shared" si="25"/>
        <v>52.038447325030752</v>
      </c>
      <c r="AR43">
        <f t="shared" si="26"/>
        <v>78.108898340714035</v>
      </c>
      <c r="AS43">
        <f t="shared" si="27"/>
        <v>64</v>
      </c>
      <c r="AT43">
        <f t="shared" si="28"/>
        <v>86.977008456258133</v>
      </c>
      <c r="AU43">
        <f t="shared" si="29"/>
        <v>85.475142585432408</v>
      </c>
      <c r="AV43">
        <f t="shared" si="30"/>
        <v>23.53720459187964</v>
      </c>
      <c r="AW43">
        <f t="shared" si="31"/>
        <v>17</v>
      </c>
      <c r="AX43">
        <f t="shared" si="34"/>
        <v>13.45362404707371</v>
      </c>
      <c r="AY43">
        <f t="shared" si="35"/>
        <v>29</v>
      </c>
      <c r="AZ43">
        <f t="shared" si="36"/>
        <v>31.384709652950431</v>
      </c>
      <c r="BA43">
        <f t="shared" si="37"/>
        <v>27.018512172212592</v>
      </c>
      <c r="BB43">
        <f t="shared" si="38"/>
        <v>11.045361017187261</v>
      </c>
      <c r="BC43">
        <f t="shared" si="39"/>
        <v>30.413812651491099</v>
      </c>
      <c r="BD43">
        <f t="shared" si="40"/>
        <v>52.697248505021591</v>
      </c>
      <c r="BE43">
        <f t="shared" si="41"/>
        <v>0</v>
      </c>
      <c r="BF43">
        <f t="shared" si="32"/>
        <v>37.083641484134183</v>
      </c>
    </row>
    <row r="44" spans="2:58">
      <c r="B44" s="30" t="s">
        <v>46</v>
      </c>
      <c r="C44">
        <f>'Map Template'!U8</f>
        <v>582845.05923999997</v>
      </c>
      <c r="D44">
        <f>'Map Template'!V8</f>
        <v>600904.26309000002</v>
      </c>
      <c r="O44" s="33" t="s">
        <v>48</v>
      </c>
      <c r="P44" s="45">
        <v>41</v>
      </c>
      <c r="Q44">
        <f t="shared" si="33"/>
        <v>202.42035766968698</v>
      </c>
      <c r="R44" s="13">
        <f t="shared" si="0"/>
        <v>198.92688587949434</v>
      </c>
      <c r="S44" s="13">
        <f t="shared" si="1"/>
        <v>163.51052114685481</v>
      </c>
      <c r="T44" s="13">
        <f t="shared" si="2"/>
        <v>173.65720671977525</v>
      </c>
      <c r="U44" s="13">
        <f t="shared" si="3"/>
        <v>193.17549302567986</v>
      </c>
      <c r="V44" s="13">
        <f t="shared" si="4"/>
        <v>205.42350173656564</v>
      </c>
      <c r="W44" s="13">
        <f t="shared" si="5"/>
        <v>164.44766549183799</v>
      </c>
      <c r="X44" s="13">
        <f t="shared" si="6"/>
        <v>199.3600502249989</v>
      </c>
      <c r="Y44" s="13">
        <f t="shared" si="7"/>
        <v>164.55291886112607</v>
      </c>
      <c r="Z44">
        <f t="shared" si="8"/>
        <v>156.86557559170316</v>
      </c>
      <c r="AA44">
        <f t="shared" si="9"/>
        <v>166.31124798315636</v>
      </c>
      <c r="AB44">
        <f t="shared" si="10"/>
        <v>134.09995125173208</v>
      </c>
      <c r="AC44">
        <f t="shared" si="11"/>
        <v>111.95590313028714</v>
      </c>
      <c r="AD44">
        <f t="shared" si="12"/>
        <v>146.13959451742411</v>
      </c>
      <c r="AE44">
        <f t="shared" si="13"/>
        <v>118.94405964871929</v>
      </c>
      <c r="AF44">
        <f t="shared" si="14"/>
        <v>143.66410743716239</v>
      </c>
      <c r="AG44">
        <f t="shared" si="15"/>
        <v>131.99389806243693</v>
      </c>
      <c r="AH44">
        <f t="shared" si="16"/>
        <v>119.53683928278572</v>
      </c>
      <c r="AI44">
        <f t="shared" si="17"/>
        <v>114.76819727485061</v>
      </c>
      <c r="AJ44">
        <f t="shared" si="18"/>
        <v>125.11628968970192</v>
      </c>
      <c r="AK44">
        <f t="shared" si="19"/>
        <v>153.05329119530938</v>
      </c>
      <c r="AL44">
        <f t="shared" si="20"/>
        <v>89.378430987121533</v>
      </c>
      <c r="AM44">
        <f t="shared" si="21"/>
        <v>70.412224263414586</v>
      </c>
      <c r="AN44">
        <f t="shared" si="22"/>
        <v>60.027286009964328</v>
      </c>
      <c r="AO44">
        <f t="shared" si="42"/>
        <v>837091.37413128326</v>
      </c>
      <c r="AP44">
        <f t="shared" si="24"/>
        <v>67.046441260674882</v>
      </c>
      <c r="AQ44">
        <f t="shared" si="25"/>
        <v>68.965970345677903</v>
      </c>
      <c r="AR44">
        <f t="shared" si="26"/>
        <v>79.925706038301243</v>
      </c>
      <c r="AS44">
        <f t="shared" si="27"/>
        <v>78.222625791521267</v>
      </c>
      <c r="AT44">
        <f t="shared" si="28"/>
        <v>87.402351488507975</v>
      </c>
      <c r="AU44">
        <f t="shared" si="29"/>
        <v>94.233767226613864</v>
      </c>
      <c r="AV44">
        <f t="shared" si="30"/>
        <v>17.02618588306116</v>
      </c>
      <c r="AW44">
        <f t="shared" si="31"/>
        <v>35.045443437390681</v>
      </c>
      <c r="AX44">
        <f t="shared" si="34"/>
        <v>31.561319454732271</v>
      </c>
      <c r="AY44">
        <f t="shared" si="35"/>
        <v>29.590806777167444</v>
      </c>
      <c r="AZ44">
        <f t="shared" si="36"/>
        <v>23.201271640238588</v>
      </c>
      <c r="BA44">
        <f t="shared" si="37"/>
        <v>48.009599099788325</v>
      </c>
      <c r="BB44">
        <f t="shared" si="38"/>
        <v>41.011871034167214</v>
      </c>
      <c r="BC44">
        <f t="shared" si="39"/>
        <v>6.7371704539367023</v>
      </c>
      <c r="BD44">
        <f t="shared" si="40"/>
        <v>49.665569620439555</v>
      </c>
      <c r="BE44">
        <f t="shared" si="41"/>
        <v>37.083641484134183</v>
      </c>
      <c r="BF44">
        <f t="shared" si="32"/>
        <v>0</v>
      </c>
    </row>
    <row r="46" spans="2:58">
      <c r="Q46" s="43" t="s">
        <v>43</v>
      </c>
      <c r="R46" s="43"/>
      <c r="S46" s="43"/>
      <c r="T46" s="43"/>
      <c r="U46" s="43"/>
      <c r="V46" s="43"/>
      <c r="W46" s="43"/>
      <c r="X46" s="43"/>
      <c r="Y46" s="43"/>
      <c r="Z46" s="43"/>
    </row>
    <row r="47" spans="2:58">
      <c r="Q47" s="33" t="s">
        <v>47</v>
      </c>
      <c r="R47" s="33"/>
      <c r="S47" s="33"/>
      <c r="T47" s="33"/>
      <c r="U47" s="33"/>
      <c r="V47" s="33"/>
      <c r="W47" s="33"/>
      <c r="X47" s="33"/>
      <c r="Y47" s="33"/>
      <c r="BF47" s="33" t="s">
        <v>48</v>
      </c>
    </row>
    <row r="48" spans="2:58">
      <c r="Q48" s="32">
        <v>1</v>
      </c>
      <c r="R48" s="45">
        <v>1</v>
      </c>
      <c r="S48" s="45">
        <v>2</v>
      </c>
      <c r="T48" s="45">
        <v>3</v>
      </c>
      <c r="U48" s="45">
        <v>4</v>
      </c>
      <c r="V48" s="45">
        <v>5</v>
      </c>
      <c r="W48" s="45">
        <v>6</v>
      </c>
      <c r="X48" s="45">
        <v>7</v>
      </c>
      <c r="Y48" s="45">
        <v>8</v>
      </c>
      <c r="Z48" s="45">
        <v>9</v>
      </c>
      <c r="AA48" s="45">
        <v>10</v>
      </c>
      <c r="AB48" s="45">
        <v>11</v>
      </c>
      <c r="AC48" s="45">
        <v>12</v>
      </c>
      <c r="AD48" s="45">
        <v>13</v>
      </c>
      <c r="AE48" s="45">
        <v>14</v>
      </c>
      <c r="AF48" s="45">
        <v>15</v>
      </c>
      <c r="AG48" s="45">
        <v>16</v>
      </c>
      <c r="AH48" s="45">
        <v>17</v>
      </c>
      <c r="AI48" s="45">
        <v>18</v>
      </c>
      <c r="AJ48" s="45">
        <v>19</v>
      </c>
      <c r="AK48" s="45">
        <v>20</v>
      </c>
      <c r="AL48" s="45">
        <v>21</v>
      </c>
      <c r="AM48" s="45">
        <v>22</v>
      </c>
      <c r="AN48" s="45">
        <v>23</v>
      </c>
      <c r="AO48" s="45">
        <v>24</v>
      </c>
      <c r="AP48" s="45">
        <v>25</v>
      </c>
      <c r="AQ48" s="45">
        <v>26</v>
      </c>
      <c r="AR48" s="45">
        <v>27</v>
      </c>
      <c r="AS48" s="45">
        <v>28</v>
      </c>
      <c r="AT48" s="45">
        <v>29</v>
      </c>
      <c r="AU48" s="45">
        <v>30</v>
      </c>
      <c r="AV48" s="45">
        <v>31</v>
      </c>
      <c r="AW48" s="45">
        <v>32</v>
      </c>
      <c r="AX48" s="45">
        <v>33</v>
      </c>
      <c r="AY48" s="45">
        <v>34</v>
      </c>
      <c r="AZ48" s="45">
        <v>35</v>
      </c>
      <c r="BA48" s="45">
        <v>36</v>
      </c>
      <c r="BB48" s="45">
        <v>37</v>
      </c>
      <c r="BC48" s="45">
        <v>38</v>
      </c>
      <c r="BD48" s="45">
        <v>39</v>
      </c>
      <c r="BE48" s="45">
        <v>40</v>
      </c>
      <c r="BF48" s="45">
        <v>41</v>
      </c>
    </row>
    <row r="49" spans="1:58">
      <c r="Q49">
        <f>SQRT((($R50-$C$3)^2)+(($R51-$D$3)^2))</f>
        <v>34.165678189088048</v>
      </c>
      <c r="R49">
        <f>INDEX($R$4:$BE$43,R48,S48)</f>
        <v>38.832975677895199</v>
      </c>
      <c r="S49">
        <f t="shared" ref="S49:BD49" si="43">INDEX($R$4:$BE$43,S48,T48)</f>
        <v>22.803508501982758</v>
      </c>
      <c r="T49">
        <f t="shared" si="43"/>
        <v>33.241540277189323</v>
      </c>
      <c r="U49">
        <f t="shared" si="43"/>
        <v>30.805843601498726</v>
      </c>
      <c r="V49">
        <f t="shared" si="43"/>
        <v>41.109609582188931</v>
      </c>
      <c r="W49">
        <f t="shared" si="43"/>
        <v>40.853396431630991</v>
      </c>
      <c r="X49">
        <f t="shared" si="43"/>
        <v>35.440090293338699</v>
      </c>
      <c r="Y49">
        <f t="shared" si="43"/>
        <v>14.212670403551895</v>
      </c>
      <c r="Z49">
        <f t="shared" si="43"/>
        <v>28.160255680657446</v>
      </c>
      <c r="AA49">
        <f t="shared" si="43"/>
        <v>32.557641192199412</v>
      </c>
      <c r="AB49">
        <f t="shared" si="43"/>
        <v>23.086792761230392</v>
      </c>
      <c r="AC49">
        <f t="shared" si="43"/>
        <v>49.396356140913873</v>
      </c>
      <c r="AD49">
        <f t="shared" si="43"/>
        <v>34.885527085024819</v>
      </c>
      <c r="AE49">
        <f t="shared" si="43"/>
        <v>24.738633753705962</v>
      </c>
      <c r="AF49">
        <f t="shared" si="43"/>
        <v>17</v>
      </c>
      <c r="AG49">
        <f t="shared" si="43"/>
        <v>29.427877939124322</v>
      </c>
      <c r="AH49">
        <f t="shared" si="43"/>
        <v>7.2111025509279782</v>
      </c>
      <c r="AI49">
        <f t="shared" si="43"/>
        <v>34.058772731852805</v>
      </c>
      <c r="AJ49">
        <f t="shared" si="43"/>
        <v>35.114099732158877</v>
      </c>
      <c r="AK49">
        <f t="shared" si="43"/>
        <v>69.18092222571191</v>
      </c>
      <c r="AL49">
        <f t="shared" si="43"/>
        <v>28.231188426986208</v>
      </c>
      <c r="AM49">
        <f t="shared" si="43"/>
        <v>10.440306508910551</v>
      </c>
      <c r="AN49">
        <f t="shared" si="43"/>
        <v>12.165525060596439</v>
      </c>
      <c r="AO49">
        <f t="shared" si="43"/>
        <v>25.942243542145693</v>
      </c>
      <c r="AP49">
        <f t="shared" si="43"/>
        <v>7.2801098892805181</v>
      </c>
      <c r="AQ49">
        <f t="shared" si="43"/>
        <v>34.828149534535996</v>
      </c>
      <c r="AR49">
        <f t="shared" si="43"/>
        <v>26.92582403567252</v>
      </c>
      <c r="AS49">
        <f t="shared" si="43"/>
        <v>34.132096331752024</v>
      </c>
      <c r="AT49">
        <f t="shared" si="43"/>
        <v>20.223748416156685</v>
      </c>
      <c r="AU49">
        <f t="shared" si="43"/>
        <v>81.21576201698781</v>
      </c>
      <c r="AV49">
        <f t="shared" si="43"/>
        <v>18.027756377319946</v>
      </c>
      <c r="AW49">
        <f t="shared" si="43"/>
        <v>5.0990195135927845</v>
      </c>
      <c r="AX49">
        <f t="shared" si="43"/>
        <v>15.620499351813308</v>
      </c>
      <c r="AY49">
        <f t="shared" si="43"/>
        <v>7.2111025509279782</v>
      </c>
      <c r="AZ49">
        <f t="shared" si="43"/>
        <v>28.231188426986208</v>
      </c>
      <c r="BA49">
        <f t="shared" si="43"/>
        <v>16.124515496597098</v>
      </c>
      <c r="BB49">
        <f t="shared" si="43"/>
        <v>34.885527085024819</v>
      </c>
      <c r="BC49">
        <f t="shared" si="43"/>
        <v>49.010203019371382</v>
      </c>
      <c r="BD49">
        <f t="shared" si="43"/>
        <v>52.697248505021591</v>
      </c>
      <c r="BE49">
        <f>INDEX($R$4:$BF$44,BE48,BF48)</f>
        <v>37.083641484134183</v>
      </c>
    </row>
    <row r="50" spans="1:58">
      <c r="P50" s="44" t="s">
        <v>25</v>
      </c>
      <c r="Q50">
        <f>C3</f>
        <v>582642.91358000005</v>
      </c>
      <c r="R50">
        <f>VLOOKUP(R48,$B$4:$C$43,2,FALSE)</f>
        <v>582651</v>
      </c>
      <c r="S50">
        <f t="shared" ref="S50:BE50" si="44">VLOOKUP(S48,$B$4:$C$43,2,FALSE)</f>
        <v>582683</v>
      </c>
      <c r="T50">
        <f t="shared" si="44"/>
        <v>582677</v>
      </c>
      <c r="U50">
        <f t="shared" si="44"/>
        <v>582653</v>
      </c>
      <c r="V50">
        <f t="shared" si="44"/>
        <v>582646</v>
      </c>
      <c r="W50">
        <f t="shared" si="44"/>
        <v>582685</v>
      </c>
      <c r="X50">
        <f t="shared" si="44"/>
        <v>582647</v>
      </c>
      <c r="Y50">
        <f t="shared" si="44"/>
        <v>582681</v>
      </c>
      <c r="Z50">
        <f t="shared" si="44"/>
        <v>582690</v>
      </c>
      <c r="AA50">
        <f t="shared" si="44"/>
        <v>582687</v>
      </c>
      <c r="AB50">
        <f t="shared" si="44"/>
        <v>582719</v>
      </c>
      <c r="AC50">
        <f t="shared" si="44"/>
        <v>582742</v>
      </c>
      <c r="AD50">
        <f t="shared" si="44"/>
        <v>582700</v>
      </c>
      <c r="AE50">
        <f t="shared" si="44"/>
        <v>582731</v>
      </c>
      <c r="AF50">
        <f t="shared" si="44"/>
        <v>582707</v>
      </c>
      <c r="AG50">
        <f t="shared" si="44"/>
        <v>582722</v>
      </c>
      <c r="AH50">
        <f t="shared" si="44"/>
        <v>582727</v>
      </c>
      <c r="AI50">
        <f t="shared" si="44"/>
        <v>582731</v>
      </c>
      <c r="AJ50">
        <f t="shared" si="44"/>
        <v>582729</v>
      </c>
      <c r="AK50">
        <f t="shared" si="44"/>
        <v>582696</v>
      </c>
      <c r="AL50">
        <f t="shared" si="44"/>
        <v>582765</v>
      </c>
      <c r="AM50">
        <f t="shared" si="44"/>
        <v>582776</v>
      </c>
      <c r="AN50">
        <f t="shared" si="44"/>
        <v>582786</v>
      </c>
      <c r="AO50">
        <f t="shared" si="44"/>
        <v>582774</v>
      </c>
      <c r="AP50">
        <f t="shared" si="44"/>
        <v>582786</v>
      </c>
      <c r="AQ50">
        <f t="shared" si="44"/>
        <v>582788</v>
      </c>
      <c r="AR50">
        <f t="shared" si="44"/>
        <v>582766</v>
      </c>
      <c r="AS50">
        <f t="shared" si="44"/>
        <v>582776</v>
      </c>
      <c r="AT50">
        <f t="shared" si="44"/>
        <v>582758</v>
      </c>
      <c r="AU50">
        <f t="shared" si="44"/>
        <v>582755</v>
      </c>
      <c r="AV50">
        <f t="shared" si="44"/>
        <v>582835</v>
      </c>
      <c r="AW50">
        <f t="shared" si="44"/>
        <v>582825</v>
      </c>
      <c r="AX50">
        <f t="shared" si="44"/>
        <v>582830</v>
      </c>
      <c r="AY50">
        <f t="shared" si="44"/>
        <v>582820</v>
      </c>
      <c r="AZ50">
        <f t="shared" si="44"/>
        <v>582824</v>
      </c>
      <c r="BA50">
        <f t="shared" si="44"/>
        <v>582813</v>
      </c>
      <c r="BB50">
        <f t="shared" si="44"/>
        <v>582829</v>
      </c>
      <c r="BC50">
        <f t="shared" si="44"/>
        <v>582845</v>
      </c>
      <c r="BD50">
        <f t="shared" si="44"/>
        <v>582796</v>
      </c>
      <c r="BE50">
        <f t="shared" si="44"/>
        <v>582840</v>
      </c>
      <c r="BF50">
        <f>C44</f>
        <v>582845.05923999997</v>
      </c>
    </row>
    <row r="51" spans="1:58" s="42" customFormat="1">
      <c r="A51"/>
      <c r="B51"/>
      <c r="C51"/>
      <c r="D51"/>
      <c r="P51" s="44" t="s">
        <v>26</v>
      </c>
      <c r="Q51">
        <f>D3</f>
        <v>600914.80507</v>
      </c>
      <c r="R51">
        <f>VLOOKUP(R48,$B$4:$D$43,3,FALSE)</f>
        <v>600948</v>
      </c>
      <c r="S51">
        <f t="shared" ref="S51:BE51" si="45">VLOOKUP(S48,$B$4:$D$43,3,FALSE)</f>
        <v>600926</v>
      </c>
      <c r="T51">
        <f t="shared" si="45"/>
        <v>600948</v>
      </c>
      <c r="U51">
        <f t="shared" si="45"/>
        <v>600925</v>
      </c>
      <c r="V51">
        <f t="shared" si="45"/>
        <v>600955</v>
      </c>
      <c r="W51">
        <f t="shared" si="45"/>
        <v>600942</v>
      </c>
      <c r="X51">
        <f t="shared" si="45"/>
        <v>600927</v>
      </c>
      <c r="Y51">
        <f t="shared" si="45"/>
        <v>600917</v>
      </c>
      <c r="Z51">
        <f t="shared" si="45"/>
        <v>600928</v>
      </c>
      <c r="AA51">
        <f t="shared" si="45"/>
        <v>600956</v>
      </c>
      <c r="AB51">
        <f t="shared" si="45"/>
        <v>600950</v>
      </c>
      <c r="AC51">
        <f t="shared" si="45"/>
        <v>600948</v>
      </c>
      <c r="AD51">
        <f t="shared" si="45"/>
        <v>600922</v>
      </c>
      <c r="AE51">
        <f t="shared" si="45"/>
        <v>600938</v>
      </c>
      <c r="AF51">
        <f t="shared" si="45"/>
        <v>600944</v>
      </c>
      <c r="AG51">
        <f t="shared" si="45"/>
        <v>600952</v>
      </c>
      <c r="AH51">
        <f t="shared" si="45"/>
        <v>600923</v>
      </c>
      <c r="AI51">
        <f t="shared" si="45"/>
        <v>600917</v>
      </c>
      <c r="AJ51">
        <f t="shared" si="45"/>
        <v>600951</v>
      </c>
      <c r="AK51">
        <f t="shared" si="45"/>
        <v>600939</v>
      </c>
      <c r="AL51">
        <f t="shared" si="45"/>
        <v>600944</v>
      </c>
      <c r="AM51">
        <f t="shared" si="45"/>
        <v>600918</v>
      </c>
      <c r="AN51">
        <f t="shared" si="45"/>
        <v>600915</v>
      </c>
      <c r="AO51">
        <f t="shared" si="45"/>
        <v>600913</v>
      </c>
      <c r="AP51">
        <f t="shared" si="45"/>
        <v>600936</v>
      </c>
      <c r="AQ51">
        <f t="shared" si="45"/>
        <v>600943</v>
      </c>
      <c r="AR51">
        <f t="shared" si="45"/>
        <v>600916</v>
      </c>
      <c r="AS51">
        <f t="shared" si="45"/>
        <v>600941</v>
      </c>
      <c r="AT51">
        <f t="shared" si="45"/>
        <v>600912</v>
      </c>
      <c r="AU51">
        <f t="shared" si="45"/>
        <v>600932</v>
      </c>
      <c r="AV51">
        <f t="shared" si="45"/>
        <v>600918</v>
      </c>
      <c r="AW51">
        <f t="shared" si="45"/>
        <v>600933</v>
      </c>
      <c r="AX51">
        <f t="shared" si="45"/>
        <v>600932</v>
      </c>
      <c r="AY51">
        <f t="shared" si="45"/>
        <v>600920</v>
      </c>
      <c r="AZ51">
        <f t="shared" si="45"/>
        <v>600914</v>
      </c>
      <c r="BA51">
        <f t="shared" si="45"/>
        <v>600940</v>
      </c>
      <c r="BB51">
        <f t="shared" si="45"/>
        <v>600942</v>
      </c>
      <c r="BC51">
        <f t="shared" si="45"/>
        <v>600911</v>
      </c>
      <c r="BD51">
        <f t="shared" si="45"/>
        <v>600912</v>
      </c>
      <c r="BE51">
        <f t="shared" si="45"/>
        <v>600941</v>
      </c>
      <c r="BF51">
        <f>D44</f>
        <v>600904.26309000002</v>
      </c>
    </row>
    <row r="52" spans="1:58" s="42" customFormat="1">
      <c r="A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</row>
    <row r="53" spans="1:58" s="42" customFormat="1">
      <c r="P53"/>
      <c r="Q53" s="43" t="s">
        <v>44</v>
      </c>
      <c r="R53" s="43"/>
      <c r="S53" s="43"/>
      <c r="T53" s="31">
        <f>SUM(Q49:BE49)</f>
        <v>1221.6589503256864</v>
      </c>
      <c r="U53" t="s">
        <v>49</v>
      </c>
      <c r="V53" s="43"/>
      <c r="W53" s="43"/>
      <c r="X53" s="43"/>
      <c r="Y53" s="4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</row>
    <row r="54" spans="1:58" s="42" customFormat="1"/>
    <row r="55" spans="1:58" s="42" customFormat="1"/>
    <row r="56" spans="1:58" s="42" customFormat="1"/>
    <row r="57" spans="1:58" s="42" customFormat="1"/>
    <row r="58" spans="1:58" s="42" customFormat="1"/>
  </sheetData>
  <sortState xmlns:xlrd2="http://schemas.microsoft.com/office/spreadsheetml/2017/richdata2" ref="C4:D43">
    <sortCondition ref="C3:C43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GMOT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Darren Murphy</dc:creator>
  <cp:lastModifiedBy>Gerry Murphy</cp:lastModifiedBy>
  <cp:lastPrinted>2020-08-18T13:33:03Z</cp:lastPrinted>
  <dcterms:created xsi:type="dcterms:W3CDTF">2018-12-20T10:05:54Z</dcterms:created>
  <dcterms:modified xsi:type="dcterms:W3CDTF">2020-09-04T11:10:44Z</dcterms:modified>
</cp:coreProperties>
</file>